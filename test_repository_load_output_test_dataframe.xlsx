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ython_coding\portefeuille_viewer\portefeuille_viewer_experiment_0.12\"/>
    </mc:Choice>
  </mc:AlternateContent>
  <xr:revisionPtr revIDLastSave="0" documentId="13_ncr:1_{731C7491-53AF-49E5-B073-8380D0B79AAA}" xr6:coauthVersionLast="47" xr6:coauthVersionMax="47" xr10:uidLastSave="{00000000-0000-0000-0000-000000000000}"/>
  <bookViews>
    <workbookView xWindow="1380" yWindow="-110" windowWidth="37130" windowHeight="21820" xr2:uid="{00000000-000D-0000-FFFF-FFFF00000000}"/>
  </bookViews>
  <sheets>
    <sheet name="Sheet1" sheetId="1" r:id="rId1"/>
  </sheets>
  <definedNames>
    <definedName name="_xlnm._FilterDatabase" localSheetId="0" hidden="1">Sheet1!$A$1:$T$91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I3" i="1"/>
  <c r="I4" i="1"/>
  <c r="I5" i="1"/>
  <c r="I6" i="1"/>
  <c r="I7" i="1"/>
  <c r="I8" i="1"/>
  <c r="I9" i="1"/>
  <c r="J9" i="1" s="1"/>
  <c r="I10" i="1"/>
  <c r="I11" i="1"/>
  <c r="J11" i="1" s="1"/>
  <c r="I12" i="1"/>
  <c r="J12" i="1" s="1"/>
  <c r="I13" i="1"/>
  <c r="I14" i="1"/>
  <c r="J14" i="1" s="1"/>
  <c r="I15" i="1"/>
  <c r="I16" i="1"/>
  <c r="I17" i="1"/>
  <c r="J17" i="1" s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2" i="1"/>
</calcChain>
</file>

<file path=xl/sharedStrings.xml><?xml version="1.0" encoding="utf-8"?>
<sst xmlns="http://schemas.openxmlformats.org/spreadsheetml/2006/main" count="557" uniqueCount="95">
  <si>
    <t>broker</t>
  </si>
  <si>
    <t>asset_rollup</t>
  </si>
  <si>
    <t>Koers</t>
  </si>
  <si>
    <t>optie_call_put</t>
  </si>
  <si>
    <t>optie_strike</t>
  </si>
  <si>
    <t>optie_exp_date</t>
  </si>
  <si>
    <t>SomVantransactie_aantal</t>
  </si>
  <si>
    <t>ITM_OTM</t>
  </si>
  <si>
    <t>waarde_bezit</t>
  </si>
  <si>
    <t>waarde_ITM</t>
  </si>
  <si>
    <t>aantal_ITM</t>
  </si>
  <si>
    <t>aantal_OTM</t>
  </si>
  <si>
    <t>delta</t>
  </si>
  <si>
    <t>waarde_bezit_delta</t>
  </si>
  <si>
    <t>regio</t>
  </si>
  <si>
    <t>sector</t>
  </si>
  <si>
    <t>value_grow</t>
  </si>
  <si>
    <t>interactive</t>
  </si>
  <si>
    <t>ROBINHOOD</t>
  </si>
  <si>
    <t>call</t>
  </si>
  <si>
    <t>US</t>
  </si>
  <si>
    <t>Buss Tech Services</t>
  </si>
  <si>
    <t>groei</t>
  </si>
  <si>
    <t>degiro</t>
  </si>
  <si>
    <t>BNP</t>
  </si>
  <si>
    <t>put</t>
  </si>
  <si>
    <t>FR</t>
  </si>
  <si>
    <t>Financials</t>
  </si>
  <si>
    <t>waarde</t>
  </si>
  <si>
    <t>lynx</t>
  </si>
  <si>
    <t>AEX</t>
  </si>
  <si>
    <t>NL</t>
  </si>
  <si>
    <t>Index</t>
  </si>
  <si>
    <t>VOLKSWAGEN</t>
  </si>
  <si>
    <t>DE</t>
  </si>
  <si>
    <t>Cons Discr</t>
  </si>
  <si>
    <t>PANW</t>
  </si>
  <si>
    <t>BMW</t>
  </si>
  <si>
    <t>UPS</t>
  </si>
  <si>
    <t>Industrials</t>
  </si>
  <si>
    <t>BHP</t>
  </si>
  <si>
    <t>Basic Materials</t>
  </si>
  <si>
    <t>DANONE</t>
  </si>
  <si>
    <t>Cons Staples</t>
  </si>
  <si>
    <t>INFINEON</t>
  </si>
  <si>
    <t>Inf Tech</t>
  </si>
  <si>
    <t>mixed</t>
  </si>
  <si>
    <t>SNOW</t>
  </si>
  <si>
    <t>AHOLD</t>
  </si>
  <si>
    <t>BAYER</t>
  </si>
  <si>
    <t>Medical</t>
  </si>
  <si>
    <t>XLV</t>
  </si>
  <si>
    <t>CL</t>
  </si>
  <si>
    <t>VFC</t>
  </si>
  <si>
    <t>ING</t>
  </si>
  <si>
    <t>HEINEKEN</t>
  </si>
  <si>
    <t>MT</t>
  </si>
  <si>
    <t>XND</t>
  </si>
  <si>
    <t>UNH</t>
  </si>
  <si>
    <t>NEBIUS</t>
  </si>
  <si>
    <t>RDSA</t>
  </si>
  <si>
    <t>Energy</t>
  </si>
  <si>
    <t>UVXY</t>
  </si>
  <si>
    <t>URW</t>
  </si>
  <si>
    <t>Real Estate</t>
  </si>
  <si>
    <t>APPLOVIN</t>
  </si>
  <si>
    <t>OKTA</t>
  </si>
  <si>
    <t>ALLIANZ</t>
  </si>
  <si>
    <t>Insurance</t>
  </si>
  <si>
    <t>PG</t>
  </si>
  <si>
    <t>O</t>
  </si>
  <si>
    <t>NIKE</t>
  </si>
  <si>
    <t>PLTR</t>
  </si>
  <si>
    <t>XSP</t>
  </si>
  <si>
    <t>DHL</t>
  </si>
  <si>
    <t>INTEL</t>
  </si>
  <si>
    <t>ANET</t>
  </si>
  <si>
    <t>NN</t>
  </si>
  <si>
    <t>PROSUS</t>
  </si>
  <si>
    <t>BESI</t>
  </si>
  <si>
    <t>ISRG</t>
  </si>
  <si>
    <t>ORACLE</t>
  </si>
  <si>
    <t>UBER</t>
  </si>
  <si>
    <t>ASMI</t>
  </si>
  <si>
    <t>BABA</t>
  </si>
  <si>
    <t>CAMECO</t>
  </si>
  <si>
    <t>ASR</t>
  </si>
  <si>
    <t>UNILEVER</t>
  </si>
  <si>
    <t>RELX</t>
  </si>
  <si>
    <t>WKL</t>
  </si>
  <si>
    <t>KO</t>
  </si>
  <si>
    <t>RAND</t>
  </si>
  <si>
    <t>ASMLAEB</t>
  </si>
  <si>
    <t>VZ</t>
  </si>
  <si>
    <t>Communication Serv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</si>
</sst>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1"/>
  <sheetViews>
    <sheetView tabSelected="1" workbookViewId="0">
      <selection activeCell="F31" sqref="F31"/>
    </sheetView>
  </sheetViews>
  <sheetFormatPr defaultRowHeight="14.5" x14ac:dyDescent="0.35"/>
  <cols>
    <col min="1" max="1" width="12.90625" customWidth="1"/>
    <col min="2" max="2" width="18.54296875" customWidth="1"/>
    <col min="3" max="3" width="13.36328125" customWidth="1"/>
    <col min="4" max="4" width="12.90625" bestFit="1" customWidth="1"/>
    <col min="5" max="5" width="10.90625" bestFit="1" customWidth="1"/>
    <col min="6" max="6" width="23.1796875" customWidth="1"/>
    <col min="7" max="7" width="22.6328125" bestFit="1" customWidth="1"/>
    <col min="8" max="8" width="9.1796875" bestFit="1" customWidth="1"/>
    <col min="9" max="9" width="17.36328125" customWidth="1"/>
    <col min="10" max="10" width="11.36328125" bestFit="1" customWidth="1"/>
    <col min="11" max="11" width="10.36328125" bestFit="1" customWidth="1"/>
    <col min="12" max="12" width="10.36328125" customWidth="1"/>
    <col min="13" max="15" width="13.90625" customWidth="1"/>
    <col min="16" max="16" width="10.1796875" customWidth="1"/>
    <col min="17" max="17" width="17.6328125" bestFit="1" customWidth="1"/>
    <col min="18" max="18" width="9.7265625" customWidth="1"/>
    <col min="19" max="19" width="24.54296875" customWidth="1"/>
    <col min="20" max="20" width="10.453125" bestFit="1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 t="s">
        <v>11</v>
      </c>
      <c r="N1" s="1"/>
      <c r="O1" s="1"/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</row>
    <row r="2" spans="1:20" x14ac:dyDescent="0.35">
      <c r="A2" t="s">
        <v>17</v>
      </c>
      <c r="B2" t="s">
        <v>18</v>
      </c>
      <c r="C2">
        <v>117.16</v>
      </c>
      <c r="D2" t="s">
        <v>19</v>
      </c>
      <c r="E2">
        <v>130</v>
      </c>
      <c r="F2" s="2">
        <v>46017</v>
      </c>
      <c r="G2">
        <v>-100</v>
      </c>
      <c r="H2">
        <v>0</v>
      </c>
      <c r="I2">
        <f>E2*G2</f>
        <v>-13000</v>
      </c>
      <c r="M2">
        <v>-100</v>
      </c>
      <c r="P2">
        <v>0.25</v>
      </c>
      <c r="Q2">
        <v>-2929</v>
      </c>
      <c r="R2" t="s">
        <v>20</v>
      </c>
      <c r="S2" t="s">
        <v>21</v>
      </c>
      <c r="T2" t="s">
        <v>22</v>
      </c>
    </row>
    <row r="3" spans="1:20" x14ac:dyDescent="0.35">
      <c r="A3" t="s">
        <v>17</v>
      </c>
      <c r="B3" t="s">
        <v>36</v>
      </c>
      <c r="C3">
        <v>185.88</v>
      </c>
      <c r="D3" t="s">
        <v>19</v>
      </c>
      <c r="E3">
        <v>192.5</v>
      </c>
      <c r="F3" s="2">
        <v>46017</v>
      </c>
      <c r="G3">
        <v>-100</v>
      </c>
      <c r="H3">
        <v>0</v>
      </c>
      <c r="I3">
        <f t="shared" ref="I3:I33" si="0">E3*G3</f>
        <v>-19250</v>
      </c>
      <c r="M3">
        <v>-100</v>
      </c>
      <c r="P3">
        <v>0.25</v>
      </c>
      <c r="Q3">
        <v>-4647</v>
      </c>
      <c r="R3" t="s">
        <v>20</v>
      </c>
      <c r="S3" t="s">
        <v>21</v>
      </c>
      <c r="T3" t="s">
        <v>22</v>
      </c>
    </row>
    <row r="4" spans="1:20" x14ac:dyDescent="0.35">
      <c r="A4" t="s">
        <v>23</v>
      </c>
      <c r="B4" t="s">
        <v>49</v>
      </c>
      <c r="C4">
        <v>35.299999999999997</v>
      </c>
      <c r="D4" t="s">
        <v>19</v>
      </c>
      <c r="E4">
        <v>36.5</v>
      </c>
      <c r="F4" s="2">
        <v>46038</v>
      </c>
      <c r="G4">
        <v>-20</v>
      </c>
      <c r="H4">
        <v>0</v>
      </c>
      <c r="I4">
        <f t="shared" si="0"/>
        <v>-730</v>
      </c>
      <c r="M4">
        <v>-20</v>
      </c>
      <c r="P4">
        <v>0.25</v>
      </c>
      <c r="Q4">
        <v>-176.5</v>
      </c>
      <c r="R4" t="s">
        <v>34</v>
      </c>
      <c r="S4" t="s">
        <v>50</v>
      </c>
      <c r="T4" t="s">
        <v>28</v>
      </c>
    </row>
    <row r="5" spans="1:20" x14ac:dyDescent="0.35">
      <c r="A5" t="s">
        <v>17</v>
      </c>
      <c r="B5" t="s">
        <v>51</v>
      </c>
      <c r="C5">
        <v>153.26</v>
      </c>
      <c r="D5" t="s">
        <v>19</v>
      </c>
      <c r="E5">
        <v>154</v>
      </c>
      <c r="F5" s="2">
        <v>46038</v>
      </c>
      <c r="G5">
        <v>-100</v>
      </c>
      <c r="H5">
        <v>0</v>
      </c>
      <c r="I5">
        <f t="shared" si="0"/>
        <v>-15400</v>
      </c>
      <c r="M5">
        <v>-100</v>
      </c>
      <c r="P5">
        <v>0.5</v>
      </c>
      <c r="Q5">
        <v>-7663</v>
      </c>
      <c r="R5" t="s">
        <v>20</v>
      </c>
      <c r="S5" t="s">
        <v>50</v>
      </c>
      <c r="T5" t="s">
        <v>28</v>
      </c>
    </row>
    <row r="6" spans="1:20" x14ac:dyDescent="0.35">
      <c r="A6" t="s">
        <v>17</v>
      </c>
      <c r="B6" t="s">
        <v>52</v>
      </c>
      <c r="C6">
        <v>77.73</v>
      </c>
      <c r="D6" t="s">
        <v>19</v>
      </c>
      <c r="E6">
        <v>80</v>
      </c>
      <c r="F6" s="2">
        <v>46038</v>
      </c>
      <c r="G6">
        <v>-100</v>
      </c>
      <c r="H6">
        <v>0</v>
      </c>
      <c r="I6">
        <f t="shared" si="0"/>
        <v>-8000</v>
      </c>
      <c r="M6">
        <v>-100</v>
      </c>
      <c r="P6">
        <v>0.25</v>
      </c>
      <c r="Q6">
        <v>-1943.25</v>
      </c>
      <c r="R6" t="s">
        <v>20</v>
      </c>
      <c r="S6" t="s">
        <v>43</v>
      </c>
      <c r="T6" t="s">
        <v>28</v>
      </c>
    </row>
    <row r="7" spans="1:20" x14ac:dyDescent="0.35">
      <c r="A7" t="s">
        <v>17</v>
      </c>
      <c r="B7" t="s">
        <v>53</v>
      </c>
      <c r="C7">
        <v>18.36</v>
      </c>
      <c r="D7" t="s">
        <v>19</v>
      </c>
      <c r="E7">
        <v>19</v>
      </c>
      <c r="F7" s="2">
        <v>46024</v>
      </c>
      <c r="G7">
        <v>-1000</v>
      </c>
      <c r="H7">
        <v>0</v>
      </c>
      <c r="I7">
        <f t="shared" si="0"/>
        <v>-19000</v>
      </c>
      <c r="M7">
        <v>-1000</v>
      </c>
      <c r="P7">
        <v>0.25</v>
      </c>
      <c r="Q7">
        <v>-4590</v>
      </c>
      <c r="R7" t="s">
        <v>20</v>
      </c>
      <c r="S7" t="s">
        <v>35</v>
      </c>
      <c r="T7" t="s">
        <v>28</v>
      </c>
    </row>
    <row r="8" spans="1:20" x14ac:dyDescent="0.35">
      <c r="A8" t="s">
        <v>23</v>
      </c>
      <c r="B8" t="s">
        <v>49</v>
      </c>
      <c r="C8">
        <v>35.299999999999997</v>
      </c>
      <c r="D8" t="s">
        <v>19</v>
      </c>
      <c r="E8">
        <v>35.5</v>
      </c>
      <c r="F8" s="2">
        <v>46038</v>
      </c>
      <c r="G8">
        <v>-300</v>
      </c>
      <c r="H8">
        <v>0</v>
      </c>
      <c r="I8">
        <f t="shared" si="0"/>
        <v>-10650</v>
      </c>
      <c r="M8">
        <v>-300</v>
      </c>
      <c r="P8">
        <v>0.5</v>
      </c>
      <c r="Q8">
        <v>-5295</v>
      </c>
      <c r="R8" t="s">
        <v>34</v>
      </c>
      <c r="S8" t="s">
        <v>50</v>
      </c>
      <c r="T8" t="s">
        <v>28</v>
      </c>
    </row>
    <row r="9" spans="1:20" x14ac:dyDescent="0.35">
      <c r="A9" t="s">
        <v>23</v>
      </c>
      <c r="B9" t="s">
        <v>54</v>
      </c>
      <c r="C9">
        <v>23.774999999999999</v>
      </c>
      <c r="D9" t="s">
        <v>19</v>
      </c>
      <c r="E9">
        <v>23</v>
      </c>
      <c r="F9" s="2">
        <v>46038</v>
      </c>
      <c r="G9">
        <v>-200</v>
      </c>
      <c r="H9">
        <v>-154.99999999999969</v>
      </c>
      <c r="I9">
        <f t="shared" si="0"/>
        <v>-4600</v>
      </c>
      <c r="J9">
        <f>I9</f>
        <v>-4600</v>
      </c>
      <c r="K9">
        <v>-200</v>
      </c>
      <c r="P9">
        <v>0.25</v>
      </c>
      <c r="Q9">
        <v>-1188.75</v>
      </c>
      <c r="R9" t="s">
        <v>31</v>
      </c>
      <c r="S9" t="s">
        <v>27</v>
      </c>
      <c r="T9" t="s">
        <v>28</v>
      </c>
    </row>
    <row r="10" spans="1:20" x14ac:dyDescent="0.35">
      <c r="A10" t="s">
        <v>17</v>
      </c>
      <c r="B10" t="s">
        <v>62</v>
      </c>
      <c r="C10">
        <v>41.08</v>
      </c>
      <c r="D10" t="s">
        <v>19</v>
      </c>
      <c r="E10">
        <v>43</v>
      </c>
      <c r="F10" s="2">
        <v>46017</v>
      </c>
      <c r="G10">
        <v>-100</v>
      </c>
      <c r="H10">
        <v>0</v>
      </c>
      <c r="I10">
        <f t="shared" si="0"/>
        <v>-4300</v>
      </c>
      <c r="M10">
        <v>-100</v>
      </c>
      <c r="P10">
        <v>0.25</v>
      </c>
      <c r="Q10">
        <v>-1027</v>
      </c>
      <c r="R10" t="s">
        <v>20</v>
      </c>
      <c r="S10" t="s">
        <v>27</v>
      </c>
      <c r="T10" t="s">
        <v>22</v>
      </c>
    </row>
    <row r="11" spans="1:20" x14ac:dyDescent="0.35">
      <c r="A11" t="s">
        <v>23</v>
      </c>
      <c r="B11" t="s">
        <v>63</v>
      </c>
      <c r="C11">
        <v>93.06</v>
      </c>
      <c r="D11" t="s">
        <v>19</v>
      </c>
      <c r="E11">
        <v>92</v>
      </c>
      <c r="F11" s="2">
        <v>46038</v>
      </c>
      <c r="G11">
        <v>-200</v>
      </c>
      <c r="H11">
        <v>-212.00000000000051</v>
      </c>
      <c r="I11">
        <f t="shared" si="0"/>
        <v>-18400</v>
      </c>
      <c r="J11">
        <f>I11</f>
        <v>-18400</v>
      </c>
      <c r="K11">
        <v>-200</v>
      </c>
      <c r="P11">
        <v>0.5</v>
      </c>
      <c r="Q11">
        <v>-9306</v>
      </c>
      <c r="R11" t="s">
        <v>31</v>
      </c>
      <c r="S11" t="s">
        <v>64</v>
      </c>
      <c r="T11" t="s">
        <v>28</v>
      </c>
    </row>
    <row r="12" spans="1:20" x14ac:dyDescent="0.35">
      <c r="A12" t="s">
        <v>29</v>
      </c>
      <c r="B12" t="s">
        <v>66</v>
      </c>
      <c r="C12">
        <v>90.23</v>
      </c>
      <c r="D12" t="s">
        <v>19</v>
      </c>
      <c r="E12">
        <v>88</v>
      </c>
      <c r="F12" s="2">
        <v>46024</v>
      </c>
      <c r="G12">
        <v>-100</v>
      </c>
      <c r="H12">
        <v>-223.0000000000004</v>
      </c>
      <c r="I12">
        <f t="shared" si="0"/>
        <v>-8800</v>
      </c>
      <c r="J12">
        <f>I12</f>
        <v>-8800</v>
      </c>
      <c r="K12">
        <v>-100</v>
      </c>
      <c r="P12">
        <v>0.5</v>
      </c>
      <c r="Q12">
        <v>-4511.5</v>
      </c>
      <c r="R12" t="s">
        <v>20</v>
      </c>
      <c r="S12" t="s">
        <v>21</v>
      </c>
      <c r="T12" t="s">
        <v>22</v>
      </c>
    </row>
    <row r="13" spans="1:20" x14ac:dyDescent="0.35">
      <c r="A13" t="s">
        <v>17</v>
      </c>
      <c r="B13" t="s">
        <v>69</v>
      </c>
      <c r="C13">
        <v>145.52000000000001</v>
      </c>
      <c r="D13" t="s">
        <v>19</v>
      </c>
      <c r="E13">
        <v>150</v>
      </c>
      <c r="F13" s="2">
        <v>46038</v>
      </c>
      <c r="G13">
        <v>-100</v>
      </c>
      <c r="H13">
        <v>0</v>
      </c>
      <c r="I13">
        <f t="shared" si="0"/>
        <v>-15000</v>
      </c>
      <c r="M13">
        <v>-100</v>
      </c>
      <c r="P13">
        <v>0.25</v>
      </c>
      <c r="Q13">
        <v>-3638</v>
      </c>
      <c r="R13" t="s">
        <v>20</v>
      </c>
      <c r="S13" t="s">
        <v>43</v>
      </c>
      <c r="T13" t="s">
        <v>28</v>
      </c>
    </row>
    <row r="14" spans="1:20" x14ac:dyDescent="0.35">
      <c r="A14" t="s">
        <v>17</v>
      </c>
      <c r="B14" t="s">
        <v>74</v>
      </c>
      <c r="C14">
        <v>46.62</v>
      </c>
      <c r="D14" t="s">
        <v>19</v>
      </c>
      <c r="E14">
        <v>42.5</v>
      </c>
      <c r="F14" s="2">
        <v>46038</v>
      </c>
      <c r="G14">
        <v>-100</v>
      </c>
      <c r="H14">
        <v>-411.99999999999977</v>
      </c>
      <c r="I14">
        <f t="shared" si="0"/>
        <v>-4250</v>
      </c>
      <c r="J14">
        <f>I14</f>
        <v>-4250</v>
      </c>
      <c r="K14">
        <v>-100</v>
      </c>
      <c r="P14">
        <v>0.75</v>
      </c>
      <c r="Q14">
        <v>-3496.5</v>
      </c>
      <c r="R14" t="s">
        <v>34</v>
      </c>
      <c r="S14" t="s">
        <v>39</v>
      </c>
      <c r="T14" t="s">
        <v>28</v>
      </c>
    </row>
    <row r="15" spans="1:20" x14ac:dyDescent="0.35">
      <c r="A15" t="s">
        <v>17</v>
      </c>
      <c r="B15" t="s">
        <v>75</v>
      </c>
      <c r="C15">
        <v>36.28</v>
      </c>
      <c r="D15" t="s">
        <v>19</v>
      </c>
      <c r="E15">
        <v>40</v>
      </c>
      <c r="F15" s="2">
        <v>46038</v>
      </c>
      <c r="G15">
        <v>-500</v>
      </c>
      <c r="H15">
        <v>0</v>
      </c>
      <c r="I15">
        <f t="shared" si="0"/>
        <v>-20000</v>
      </c>
      <c r="M15">
        <v>-500</v>
      </c>
      <c r="P15">
        <v>0.25</v>
      </c>
      <c r="Q15">
        <v>-4535</v>
      </c>
      <c r="R15" t="s">
        <v>20</v>
      </c>
      <c r="S15" t="s">
        <v>45</v>
      </c>
      <c r="T15" t="s">
        <v>46</v>
      </c>
    </row>
    <row r="16" spans="1:20" x14ac:dyDescent="0.35">
      <c r="A16" t="s">
        <v>29</v>
      </c>
      <c r="B16" t="s">
        <v>49</v>
      </c>
      <c r="C16">
        <v>35.299999999999997</v>
      </c>
      <c r="D16" t="s">
        <v>19</v>
      </c>
      <c r="E16">
        <v>35</v>
      </c>
      <c r="F16" s="2">
        <v>46038</v>
      </c>
      <c r="G16">
        <v>-300</v>
      </c>
      <c r="H16">
        <v>-89.999999999999147</v>
      </c>
      <c r="I16">
        <f t="shared" si="0"/>
        <v>-10500</v>
      </c>
      <c r="J16">
        <f>I16</f>
        <v>-10500</v>
      </c>
      <c r="K16">
        <v>-300</v>
      </c>
      <c r="P16">
        <v>0.5</v>
      </c>
      <c r="Q16">
        <v>-5295</v>
      </c>
      <c r="R16" t="s">
        <v>34</v>
      </c>
      <c r="S16" t="s">
        <v>50</v>
      </c>
      <c r="T16" t="s">
        <v>28</v>
      </c>
    </row>
    <row r="17" spans="1:20" x14ac:dyDescent="0.35">
      <c r="A17" t="s">
        <v>17</v>
      </c>
      <c r="B17" t="s">
        <v>66</v>
      </c>
      <c r="C17">
        <v>90.23</v>
      </c>
      <c r="D17" t="s">
        <v>19</v>
      </c>
      <c r="E17">
        <v>87.5</v>
      </c>
      <c r="F17" s="2">
        <v>46038</v>
      </c>
      <c r="G17">
        <v>-100</v>
      </c>
      <c r="H17">
        <v>-273.0000000000004</v>
      </c>
      <c r="I17">
        <f t="shared" si="0"/>
        <v>-8750</v>
      </c>
      <c r="J17">
        <f>I17</f>
        <v>-8750</v>
      </c>
      <c r="K17">
        <v>-100</v>
      </c>
      <c r="P17">
        <v>0.25</v>
      </c>
      <c r="Q17">
        <v>-2255.75</v>
      </c>
      <c r="R17" t="s">
        <v>20</v>
      </c>
      <c r="S17" t="s">
        <v>21</v>
      </c>
      <c r="T17" t="s">
        <v>22</v>
      </c>
    </row>
    <row r="18" spans="1:20" x14ac:dyDescent="0.35">
      <c r="A18" t="s">
        <v>17</v>
      </c>
      <c r="B18" t="s">
        <v>82</v>
      </c>
      <c r="C18">
        <v>79.69</v>
      </c>
      <c r="D18" t="s">
        <v>19</v>
      </c>
      <c r="E18">
        <v>85</v>
      </c>
      <c r="F18" s="2">
        <v>46017</v>
      </c>
      <c r="G18">
        <v>-200</v>
      </c>
      <c r="H18">
        <v>0</v>
      </c>
      <c r="I18">
        <f t="shared" si="0"/>
        <v>-17000</v>
      </c>
      <c r="M18">
        <v>-200</v>
      </c>
      <c r="P18">
        <v>0.25</v>
      </c>
      <c r="Q18">
        <v>-3984.5</v>
      </c>
      <c r="R18" t="s">
        <v>20</v>
      </c>
      <c r="S18" t="s">
        <v>21</v>
      </c>
      <c r="T18" t="s">
        <v>22</v>
      </c>
    </row>
    <row r="19" spans="1:20" x14ac:dyDescent="0.35">
      <c r="A19" t="s">
        <v>23</v>
      </c>
      <c r="B19" t="s">
        <v>79</v>
      </c>
      <c r="C19">
        <v>131.44999999999999</v>
      </c>
      <c r="D19" t="s">
        <v>19</v>
      </c>
      <c r="E19">
        <v>140</v>
      </c>
      <c r="F19" s="2">
        <v>46016</v>
      </c>
      <c r="G19">
        <v>-100</v>
      </c>
      <c r="H19">
        <v>0</v>
      </c>
      <c r="I19">
        <f t="shared" si="0"/>
        <v>-14000</v>
      </c>
      <c r="M19">
        <v>-100</v>
      </c>
      <c r="P19">
        <v>0.25</v>
      </c>
      <c r="Q19">
        <v>-3286.25</v>
      </c>
      <c r="R19" t="s">
        <v>31</v>
      </c>
      <c r="S19" t="s">
        <v>45</v>
      </c>
      <c r="T19" t="s">
        <v>46</v>
      </c>
    </row>
    <row r="20" spans="1:20" x14ac:dyDescent="0.35">
      <c r="A20" t="s">
        <v>17</v>
      </c>
      <c r="B20" t="s">
        <v>70</v>
      </c>
      <c r="C20">
        <v>56.77</v>
      </c>
      <c r="D20" t="s">
        <v>19</v>
      </c>
      <c r="E20">
        <v>60</v>
      </c>
      <c r="F20" s="2">
        <v>46038</v>
      </c>
      <c r="G20">
        <v>-200</v>
      </c>
      <c r="H20">
        <v>0</v>
      </c>
      <c r="I20">
        <f t="shared" si="0"/>
        <v>-12000</v>
      </c>
      <c r="M20">
        <v>-200</v>
      </c>
      <c r="P20">
        <v>0.25</v>
      </c>
      <c r="Q20">
        <v>-2838.5</v>
      </c>
      <c r="R20" t="s">
        <v>20</v>
      </c>
      <c r="S20" t="s">
        <v>64</v>
      </c>
      <c r="T20" t="s">
        <v>28</v>
      </c>
    </row>
    <row r="21" spans="1:20" x14ac:dyDescent="0.35">
      <c r="A21" t="s">
        <v>29</v>
      </c>
      <c r="B21" t="s">
        <v>82</v>
      </c>
      <c r="C21">
        <v>79.69</v>
      </c>
      <c r="D21" t="s">
        <v>19</v>
      </c>
      <c r="E21">
        <v>85</v>
      </c>
      <c r="F21" s="2">
        <v>46017</v>
      </c>
      <c r="G21">
        <v>-100</v>
      </c>
      <c r="H21">
        <v>0</v>
      </c>
      <c r="I21">
        <f t="shared" si="0"/>
        <v>-8500</v>
      </c>
      <c r="M21">
        <v>-100</v>
      </c>
      <c r="P21">
        <v>0.25</v>
      </c>
      <c r="Q21">
        <v>-1992.25</v>
      </c>
      <c r="R21" t="s">
        <v>20</v>
      </c>
      <c r="S21" t="s">
        <v>21</v>
      </c>
      <c r="T21" t="s">
        <v>22</v>
      </c>
    </row>
    <row r="22" spans="1:20" x14ac:dyDescent="0.35">
      <c r="A22" t="s">
        <v>29</v>
      </c>
      <c r="B22" t="s">
        <v>87</v>
      </c>
      <c r="C22">
        <v>55.69</v>
      </c>
      <c r="D22" t="s">
        <v>19</v>
      </c>
      <c r="E22">
        <v>57</v>
      </c>
      <c r="F22" s="2">
        <v>46038</v>
      </c>
      <c r="G22">
        <v>-100</v>
      </c>
      <c r="H22">
        <v>0</v>
      </c>
      <c r="I22">
        <f t="shared" si="0"/>
        <v>-5700</v>
      </c>
      <c r="M22">
        <v>-100</v>
      </c>
      <c r="P22">
        <v>0.5</v>
      </c>
      <c r="Q22">
        <v>-2784.5</v>
      </c>
      <c r="R22" t="s">
        <v>31</v>
      </c>
      <c r="S22" t="s">
        <v>43</v>
      </c>
      <c r="T22" t="s">
        <v>28</v>
      </c>
    </row>
    <row r="23" spans="1:20" x14ac:dyDescent="0.35">
      <c r="A23" t="s">
        <v>29</v>
      </c>
      <c r="B23" t="s">
        <v>88</v>
      </c>
      <c r="C23">
        <v>34.96</v>
      </c>
      <c r="D23" t="s">
        <v>19</v>
      </c>
      <c r="E23">
        <v>36</v>
      </c>
      <c r="F23" s="2">
        <v>46038</v>
      </c>
      <c r="G23">
        <v>-300</v>
      </c>
      <c r="H23">
        <v>0</v>
      </c>
      <c r="I23">
        <f t="shared" si="0"/>
        <v>-10800</v>
      </c>
      <c r="M23">
        <v>-300</v>
      </c>
      <c r="P23">
        <v>0.25</v>
      </c>
      <c r="Q23">
        <v>-2622</v>
      </c>
      <c r="R23" t="s">
        <v>31</v>
      </c>
      <c r="S23" t="s">
        <v>43</v>
      </c>
      <c r="T23" t="s">
        <v>28</v>
      </c>
    </row>
    <row r="24" spans="1:20" x14ac:dyDescent="0.35">
      <c r="A24" t="s">
        <v>23</v>
      </c>
      <c r="B24" t="s">
        <v>55</v>
      </c>
      <c r="C24">
        <v>69.319999999999993</v>
      </c>
      <c r="D24" t="s">
        <v>19</v>
      </c>
      <c r="E24">
        <v>74</v>
      </c>
      <c r="F24" s="2">
        <v>46038</v>
      </c>
      <c r="G24">
        <v>-200</v>
      </c>
      <c r="H24">
        <v>0</v>
      </c>
      <c r="I24">
        <f t="shared" si="0"/>
        <v>-14800</v>
      </c>
      <c r="M24">
        <v>-200</v>
      </c>
      <c r="P24">
        <v>0.25</v>
      </c>
      <c r="Q24">
        <v>-3466</v>
      </c>
      <c r="R24" t="s">
        <v>31</v>
      </c>
      <c r="S24" t="s">
        <v>43</v>
      </c>
      <c r="T24" t="s">
        <v>28</v>
      </c>
    </row>
    <row r="25" spans="1:20" x14ac:dyDescent="0.35">
      <c r="A25" t="s">
        <v>23</v>
      </c>
      <c r="B25" t="s">
        <v>87</v>
      </c>
      <c r="C25">
        <v>55.69</v>
      </c>
      <c r="D25" t="s">
        <v>19</v>
      </c>
      <c r="E25">
        <v>57</v>
      </c>
      <c r="F25" s="2">
        <v>46038</v>
      </c>
      <c r="G25">
        <v>-800</v>
      </c>
      <c r="H25">
        <v>0</v>
      </c>
      <c r="I25">
        <f t="shared" si="0"/>
        <v>-45600</v>
      </c>
      <c r="M25">
        <v>-800</v>
      </c>
      <c r="P25">
        <v>0.5</v>
      </c>
      <c r="Q25">
        <v>-22276</v>
      </c>
      <c r="R25" t="s">
        <v>31</v>
      </c>
      <c r="S25" t="s">
        <v>43</v>
      </c>
      <c r="T25" t="s">
        <v>28</v>
      </c>
    </row>
    <row r="26" spans="1:20" x14ac:dyDescent="0.35">
      <c r="A26" t="s">
        <v>29</v>
      </c>
      <c r="B26" t="s">
        <v>85</v>
      </c>
      <c r="C26">
        <v>87.58</v>
      </c>
      <c r="D26" t="s">
        <v>19</v>
      </c>
      <c r="E26">
        <v>88</v>
      </c>
      <c r="F26" s="2">
        <v>46017</v>
      </c>
      <c r="G26">
        <v>-100</v>
      </c>
      <c r="H26">
        <v>0</v>
      </c>
      <c r="I26">
        <f t="shared" si="0"/>
        <v>-8800</v>
      </c>
      <c r="M26">
        <v>-100</v>
      </c>
      <c r="P26">
        <v>0.5</v>
      </c>
      <c r="Q26">
        <v>-4379</v>
      </c>
      <c r="R26" t="s">
        <v>20</v>
      </c>
      <c r="S26" t="s">
        <v>61</v>
      </c>
      <c r="T26" t="s">
        <v>22</v>
      </c>
    </row>
    <row r="27" spans="1:20" x14ac:dyDescent="0.35">
      <c r="A27" t="s">
        <v>17</v>
      </c>
      <c r="B27" t="s">
        <v>93</v>
      </c>
      <c r="C27">
        <v>40.409999999999997</v>
      </c>
      <c r="D27" t="s">
        <v>19</v>
      </c>
      <c r="E27">
        <v>42</v>
      </c>
      <c r="F27" s="2">
        <v>46038</v>
      </c>
      <c r="G27">
        <v>-300</v>
      </c>
      <c r="H27">
        <v>0</v>
      </c>
      <c r="I27">
        <f t="shared" si="0"/>
        <v>-12600</v>
      </c>
      <c r="M27">
        <v>-300</v>
      </c>
      <c r="P27">
        <v>0.25</v>
      </c>
      <c r="Q27">
        <v>-3030.75</v>
      </c>
      <c r="R27" t="s">
        <v>20</v>
      </c>
      <c r="S27" t="s">
        <v>94</v>
      </c>
      <c r="T27" t="s">
        <v>28</v>
      </c>
    </row>
    <row r="28" spans="1:20" x14ac:dyDescent="0.35">
      <c r="A28" t="s">
        <v>23</v>
      </c>
      <c r="B28" t="s">
        <v>89</v>
      </c>
      <c r="C28">
        <v>90.74</v>
      </c>
      <c r="D28" t="s">
        <v>19</v>
      </c>
      <c r="E28">
        <v>98</v>
      </c>
      <c r="F28" s="2">
        <v>46038</v>
      </c>
      <c r="G28">
        <v>-100</v>
      </c>
      <c r="H28">
        <v>0</v>
      </c>
      <c r="I28">
        <f t="shared" si="0"/>
        <v>-9800</v>
      </c>
      <c r="M28">
        <v>-100</v>
      </c>
      <c r="P28">
        <v>0.25</v>
      </c>
      <c r="Q28">
        <v>-2268.5</v>
      </c>
      <c r="R28" t="s">
        <v>31</v>
      </c>
      <c r="S28" t="s">
        <v>43</v>
      </c>
      <c r="T28" t="s">
        <v>28</v>
      </c>
    </row>
    <row r="29" spans="1:20" x14ac:dyDescent="0.35">
      <c r="A29" t="s">
        <v>23</v>
      </c>
      <c r="B29" t="s">
        <v>48</v>
      </c>
      <c r="C29">
        <v>34.9</v>
      </c>
      <c r="D29" t="s">
        <v>19</v>
      </c>
      <c r="E29">
        <v>35</v>
      </c>
      <c r="F29" s="2">
        <v>46038</v>
      </c>
      <c r="G29">
        <v>-300</v>
      </c>
      <c r="H29">
        <v>0</v>
      </c>
      <c r="I29">
        <f t="shared" si="0"/>
        <v>-10500</v>
      </c>
      <c r="M29">
        <v>-300</v>
      </c>
      <c r="P29">
        <v>0.5</v>
      </c>
      <c r="Q29">
        <v>-5235</v>
      </c>
      <c r="R29" t="s">
        <v>31</v>
      </c>
      <c r="S29" t="s">
        <v>43</v>
      </c>
      <c r="T29" t="s">
        <v>28</v>
      </c>
    </row>
    <row r="30" spans="1:20" x14ac:dyDescent="0.35">
      <c r="A30" t="s">
        <v>29</v>
      </c>
      <c r="B30" t="s">
        <v>70</v>
      </c>
      <c r="C30">
        <v>56.77</v>
      </c>
      <c r="D30" t="s">
        <v>19</v>
      </c>
      <c r="E30">
        <v>60</v>
      </c>
      <c r="F30" s="2">
        <v>46038</v>
      </c>
      <c r="G30">
        <v>-500</v>
      </c>
      <c r="H30">
        <v>0</v>
      </c>
      <c r="I30">
        <f t="shared" si="0"/>
        <v>-30000</v>
      </c>
      <c r="M30">
        <v>-500</v>
      </c>
      <c r="P30">
        <v>0.25</v>
      </c>
      <c r="Q30">
        <v>-7096.25</v>
      </c>
      <c r="R30" t="s">
        <v>20</v>
      </c>
      <c r="S30" t="s">
        <v>64</v>
      </c>
      <c r="T30" t="s">
        <v>28</v>
      </c>
    </row>
    <row r="31" spans="1:20" x14ac:dyDescent="0.35">
      <c r="A31" t="s">
        <v>17</v>
      </c>
      <c r="B31" t="s">
        <v>53</v>
      </c>
      <c r="C31">
        <v>18.36</v>
      </c>
      <c r="D31" t="s">
        <v>19</v>
      </c>
      <c r="E31">
        <v>19.5</v>
      </c>
      <c r="F31" s="2">
        <v>46024</v>
      </c>
      <c r="G31">
        <v>-1700</v>
      </c>
      <c r="H31">
        <v>0</v>
      </c>
      <c r="I31">
        <f t="shared" si="0"/>
        <v>-33150</v>
      </c>
      <c r="M31">
        <v>-1700</v>
      </c>
      <c r="P31">
        <v>0.25</v>
      </c>
      <c r="Q31">
        <v>-7803</v>
      </c>
      <c r="R31" t="s">
        <v>20</v>
      </c>
      <c r="S31" t="s">
        <v>35</v>
      </c>
      <c r="T31" t="s">
        <v>28</v>
      </c>
    </row>
    <row r="32" spans="1:20" x14ac:dyDescent="0.35">
      <c r="A32" t="s">
        <v>17</v>
      </c>
      <c r="B32" t="s">
        <v>85</v>
      </c>
      <c r="C32">
        <v>87.58</v>
      </c>
      <c r="D32" t="s">
        <v>19</v>
      </c>
      <c r="E32">
        <v>89</v>
      </c>
      <c r="F32" s="2">
        <v>46024</v>
      </c>
      <c r="G32">
        <v>-100</v>
      </c>
      <c r="H32">
        <v>0</v>
      </c>
      <c r="I32">
        <f t="shared" si="0"/>
        <v>-8900</v>
      </c>
      <c r="M32">
        <v>-100</v>
      </c>
      <c r="P32">
        <v>0.5</v>
      </c>
      <c r="Q32">
        <v>-4379</v>
      </c>
      <c r="R32" t="s">
        <v>20</v>
      </c>
      <c r="S32" t="s">
        <v>61</v>
      </c>
      <c r="T32" t="s">
        <v>22</v>
      </c>
    </row>
    <row r="33" spans="1:20" x14ac:dyDescent="0.35">
      <c r="A33" t="s">
        <v>17</v>
      </c>
      <c r="B33" t="s">
        <v>42</v>
      </c>
      <c r="C33">
        <v>78.260000000000005</v>
      </c>
      <c r="D33" t="s">
        <v>19</v>
      </c>
      <c r="E33">
        <v>76</v>
      </c>
      <c r="F33" s="2">
        <v>46038</v>
      </c>
      <c r="G33">
        <v>-100</v>
      </c>
      <c r="H33">
        <v>-226.00000000000051</v>
      </c>
      <c r="I33">
        <f t="shared" si="0"/>
        <v>-7600</v>
      </c>
      <c r="J33">
        <v>7600</v>
      </c>
      <c r="K33">
        <v>-100</v>
      </c>
      <c r="P33">
        <v>0.25</v>
      </c>
      <c r="Q33">
        <v>-1956.5</v>
      </c>
      <c r="R33" t="s">
        <v>26</v>
      </c>
      <c r="S33" t="s">
        <v>43</v>
      </c>
      <c r="T33" t="s">
        <v>28</v>
      </c>
    </row>
    <row r="34" spans="1:20" x14ac:dyDescent="0.35">
      <c r="A34" t="s">
        <v>23</v>
      </c>
      <c r="B34" t="s">
        <v>24</v>
      </c>
      <c r="C34">
        <v>80.239999999999995</v>
      </c>
      <c r="D34" t="s">
        <v>25</v>
      </c>
      <c r="E34">
        <v>70</v>
      </c>
      <c r="F34" s="2">
        <v>46038</v>
      </c>
      <c r="G34">
        <v>-200</v>
      </c>
      <c r="H34">
        <v>0</v>
      </c>
      <c r="I34">
        <v>14000</v>
      </c>
      <c r="M34">
        <v>-200</v>
      </c>
      <c r="P34">
        <v>-0.25</v>
      </c>
      <c r="Q34">
        <v>4012</v>
      </c>
      <c r="R34" t="s">
        <v>26</v>
      </c>
      <c r="S34" t="s">
        <v>27</v>
      </c>
      <c r="T34" t="s">
        <v>28</v>
      </c>
    </row>
    <row r="35" spans="1:20" x14ac:dyDescent="0.35">
      <c r="A35" t="s">
        <v>29</v>
      </c>
      <c r="B35" t="s">
        <v>30</v>
      </c>
      <c r="C35">
        <v>951</v>
      </c>
      <c r="D35" t="s">
        <v>25</v>
      </c>
      <c r="E35">
        <v>840</v>
      </c>
      <c r="F35" s="2">
        <v>46101</v>
      </c>
      <c r="G35">
        <v>-400</v>
      </c>
      <c r="H35">
        <v>0</v>
      </c>
      <c r="I35">
        <v>336000</v>
      </c>
      <c r="M35">
        <v>-400</v>
      </c>
      <c r="P35">
        <v>-0.25</v>
      </c>
      <c r="Q35">
        <v>95100</v>
      </c>
      <c r="R35" t="s">
        <v>31</v>
      </c>
      <c r="S35" t="s">
        <v>32</v>
      </c>
      <c r="T35" t="s">
        <v>28</v>
      </c>
    </row>
    <row r="36" spans="1:20" x14ac:dyDescent="0.35">
      <c r="A36" t="s">
        <v>29</v>
      </c>
      <c r="B36" t="s">
        <v>33</v>
      </c>
      <c r="C36">
        <v>105.2</v>
      </c>
      <c r="D36" t="s">
        <v>25</v>
      </c>
      <c r="E36">
        <v>110</v>
      </c>
      <c r="F36" s="2">
        <v>46038</v>
      </c>
      <c r="G36">
        <v>-200</v>
      </c>
      <c r="H36">
        <v>-959.99999999999943</v>
      </c>
      <c r="I36">
        <v>22000</v>
      </c>
      <c r="J36">
        <v>22000</v>
      </c>
      <c r="K36">
        <v>-200</v>
      </c>
      <c r="P36">
        <v>-0.25</v>
      </c>
      <c r="Q36">
        <v>5260</v>
      </c>
      <c r="R36" t="s">
        <v>34</v>
      </c>
      <c r="S36" t="s">
        <v>35</v>
      </c>
      <c r="T36" t="s">
        <v>28</v>
      </c>
    </row>
    <row r="37" spans="1:20" x14ac:dyDescent="0.35">
      <c r="A37" t="s">
        <v>23</v>
      </c>
      <c r="B37" t="s">
        <v>37</v>
      </c>
      <c r="C37">
        <v>93.06</v>
      </c>
      <c r="D37" t="s">
        <v>25</v>
      </c>
      <c r="E37">
        <v>90</v>
      </c>
      <c r="F37" s="2">
        <v>46038</v>
      </c>
      <c r="G37">
        <v>-300</v>
      </c>
      <c r="H37">
        <v>0</v>
      </c>
      <c r="I37">
        <v>27000</v>
      </c>
      <c r="M37">
        <v>-300</v>
      </c>
      <c r="P37">
        <v>-0.25</v>
      </c>
      <c r="Q37">
        <v>6979.5</v>
      </c>
      <c r="R37" t="s">
        <v>34</v>
      </c>
      <c r="S37" t="s">
        <v>35</v>
      </c>
      <c r="T37" t="s">
        <v>28</v>
      </c>
    </row>
    <row r="38" spans="1:20" x14ac:dyDescent="0.35">
      <c r="A38" t="s">
        <v>29</v>
      </c>
      <c r="B38" t="s">
        <v>38</v>
      </c>
      <c r="C38">
        <v>102.08</v>
      </c>
      <c r="D38" t="s">
        <v>25</v>
      </c>
      <c r="E38">
        <v>100</v>
      </c>
      <c r="F38" s="2">
        <v>46017</v>
      </c>
      <c r="G38">
        <v>-100</v>
      </c>
      <c r="H38">
        <v>0</v>
      </c>
      <c r="I38">
        <v>10000</v>
      </c>
      <c r="M38">
        <v>-100</v>
      </c>
      <c r="P38">
        <v>-0.5</v>
      </c>
      <c r="Q38">
        <v>5104</v>
      </c>
      <c r="R38" t="s">
        <v>20</v>
      </c>
      <c r="S38" t="s">
        <v>39</v>
      </c>
      <c r="T38" t="s">
        <v>28</v>
      </c>
    </row>
    <row r="39" spans="1:20" x14ac:dyDescent="0.35">
      <c r="A39" t="s">
        <v>17</v>
      </c>
      <c r="B39" t="s">
        <v>40</v>
      </c>
      <c r="C39">
        <v>59.27</v>
      </c>
      <c r="D39" t="s">
        <v>25</v>
      </c>
      <c r="E39">
        <v>60</v>
      </c>
      <c r="F39" s="2">
        <v>46038</v>
      </c>
      <c r="G39">
        <v>-300</v>
      </c>
      <c r="H39">
        <v>-218.99999999999909</v>
      </c>
      <c r="I39">
        <v>18000</v>
      </c>
      <c r="J39">
        <v>18000</v>
      </c>
      <c r="K39">
        <v>-300</v>
      </c>
      <c r="P39">
        <v>-0.5</v>
      </c>
      <c r="Q39">
        <v>8890.5</v>
      </c>
      <c r="R39" t="s">
        <v>20</v>
      </c>
      <c r="S39" t="s">
        <v>41</v>
      </c>
      <c r="T39" t="s">
        <v>28</v>
      </c>
    </row>
    <row r="40" spans="1:20" x14ac:dyDescent="0.35">
      <c r="A40" t="s">
        <v>23</v>
      </c>
      <c r="B40" t="s">
        <v>42</v>
      </c>
      <c r="C40">
        <v>78.260000000000005</v>
      </c>
      <c r="D40" t="s">
        <v>25</v>
      </c>
      <c r="E40">
        <v>80</v>
      </c>
      <c r="F40" s="2">
        <v>46038</v>
      </c>
      <c r="G40">
        <v>-200</v>
      </c>
      <c r="H40">
        <v>-347.99999999999898</v>
      </c>
      <c r="I40">
        <v>16000</v>
      </c>
      <c r="J40">
        <v>16000</v>
      </c>
      <c r="K40">
        <v>-200</v>
      </c>
      <c r="P40">
        <v>-0.5</v>
      </c>
      <c r="Q40">
        <v>7826.0000000000009</v>
      </c>
      <c r="R40" t="s">
        <v>26</v>
      </c>
      <c r="S40" t="s">
        <v>43</v>
      </c>
      <c r="T40" t="s">
        <v>28</v>
      </c>
    </row>
    <row r="41" spans="1:20" x14ac:dyDescent="0.35">
      <c r="A41" t="s">
        <v>17</v>
      </c>
      <c r="B41" t="s">
        <v>44</v>
      </c>
      <c r="C41">
        <v>35.49</v>
      </c>
      <c r="D41" t="s">
        <v>25</v>
      </c>
      <c r="E41">
        <v>34</v>
      </c>
      <c r="F41" s="2">
        <v>46038</v>
      </c>
      <c r="G41">
        <v>-200</v>
      </c>
      <c r="H41">
        <v>0</v>
      </c>
      <c r="I41">
        <v>6800</v>
      </c>
      <c r="M41">
        <v>-200</v>
      </c>
      <c r="P41">
        <v>-0.25</v>
      </c>
      <c r="Q41">
        <v>1774.5</v>
      </c>
      <c r="R41" t="s">
        <v>34</v>
      </c>
      <c r="S41" t="s">
        <v>45</v>
      </c>
      <c r="T41" t="s">
        <v>46</v>
      </c>
    </row>
    <row r="42" spans="1:20" x14ac:dyDescent="0.35">
      <c r="A42" t="s">
        <v>17</v>
      </c>
      <c r="B42" t="s">
        <v>47</v>
      </c>
      <c r="C42">
        <v>221.31</v>
      </c>
      <c r="D42" t="s">
        <v>25</v>
      </c>
      <c r="E42">
        <v>220</v>
      </c>
      <c r="F42" s="2">
        <v>46017</v>
      </c>
      <c r="G42">
        <v>-100</v>
      </c>
      <c r="H42">
        <v>0</v>
      </c>
      <c r="I42">
        <v>22000</v>
      </c>
      <c r="M42">
        <v>-100</v>
      </c>
      <c r="P42">
        <v>-0.5</v>
      </c>
      <c r="Q42">
        <v>11065.5</v>
      </c>
      <c r="R42" t="s">
        <v>20</v>
      </c>
      <c r="S42" t="s">
        <v>21</v>
      </c>
      <c r="T42" t="s">
        <v>22</v>
      </c>
    </row>
    <row r="43" spans="1:20" x14ac:dyDescent="0.35">
      <c r="A43" t="s">
        <v>29</v>
      </c>
      <c r="B43" t="s">
        <v>48</v>
      </c>
      <c r="C43">
        <v>34.9</v>
      </c>
      <c r="D43" t="s">
        <v>25</v>
      </c>
      <c r="E43">
        <v>35</v>
      </c>
      <c r="F43" s="2">
        <v>46038</v>
      </c>
      <c r="G43">
        <v>-300</v>
      </c>
      <c r="H43">
        <v>-30.00000000000043</v>
      </c>
      <c r="I43">
        <v>10500</v>
      </c>
      <c r="J43">
        <v>10500</v>
      </c>
      <c r="K43">
        <v>-300</v>
      </c>
      <c r="P43">
        <v>-0.5</v>
      </c>
      <c r="Q43">
        <v>5235</v>
      </c>
      <c r="R43" t="s">
        <v>31</v>
      </c>
      <c r="S43" t="s">
        <v>43</v>
      </c>
      <c r="T43" t="s">
        <v>28</v>
      </c>
    </row>
    <row r="44" spans="1:20" x14ac:dyDescent="0.35">
      <c r="A44" t="s">
        <v>23</v>
      </c>
      <c r="B44" t="s">
        <v>55</v>
      </c>
      <c r="C44">
        <v>69.319999999999993</v>
      </c>
      <c r="D44" t="s">
        <v>25</v>
      </c>
      <c r="E44">
        <v>72</v>
      </c>
      <c r="F44" s="2">
        <v>46038</v>
      </c>
      <c r="G44">
        <v>-200</v>
      </c>
      <c r="H44">
        <v>-536.00000000000136</v>
      </c>
      <c r="I44">
        <v>14400</v>
      </c>
      <c r="J44">
        <v>14400</v>
      </c>
      <c r="K44">
        <v>-200</v>
      </c>
      <c r="P44">
        <v>-0.25</v>
      </c>
      <c r="Q44">
        <v>3466</v>
      </c>
      <c r="R44" t="s">
        <v>31</v>
      </c>
      <c r="S44" t="s">
        <v>43</v>
      </c>
      <c r="T44" t="s">
        <v>28</v>
      </c>
    </row>
    <row r="45" spans="1:20" x14ac:dyDescent="0.35">
      <c r="A45" t="s">
        <v>29</v>
      </c>
      <c r="B45" t="s">
        <v>56</v>
      </c>
      <c r="C45">
        <v>38.71</v>
      </c>
      <c r="D45" t="s">
        <v>25</v>
      </c>
      <c r="E45">
        <v>37</v>
      </c>
      <c r="F45" s="2">
        <v>46038</v>
      </c>
      <c r="G45">
        <v>-700</v>
      </c>
      <c r="H45">
        <v>0</v>
      </c>
      <c r="I45">
        <v>25900</v>
      </c>
      <c r="M45">
        <v>-700</v>
      </c>
      <c r="P45">
        <v>-0.25</v>
      </c>
      <c r="Q45">
        <v>6774.25</v>
      </c>
      <c r="R45" t="s">
        <v>31</v>
      </c>
      <c r="S45" t="s">
        <v>41</v>
      </c>
      <c r="T45" t="s">
        <v>28</v>
      </c>
    </row>
    <row r="46" spans="1:20" x14ac:dyDescent="0.35">
      <c r="A46" t="s">
        <v>23</v>
      </c>
      <c r="B46" t="s">
        <v>56</v>
      </c>
      <c r="C46">
        <v>38.71</v>
      </c>
      <c r="D46" t="s">
        <v>25</v>
      </c>
      <c r="E46">
        <v>38</v>
      </c>
      <c r="F46" s="2">
        <v>46038</v>
      </c>
      <c r="G46">
        <v>-800</v>
      </c>
      <c r="H46">
        <v>0</v>
      </c>
      <c r="I46">
        <v>30400</v>
      </c>
      <c r="M46">
        <v>-800</v>
      </c>
      <c r="P46">
        <v>-0.5</v>
      </c>
      <c r="Q46">
        <v>15484</v>
      </c>
      <c r="R46" t="s">
        <v>31</v>
      </c>
      <c r="S46" t="s">
        <v>41</v>
      </c>
      <c r="T46" t="s">
        <v>28</v>
      </c>
    </row>
    <row r="47" spans="1:20" x14ac:dyDescent="0.35">
      <c r="A47" t="s">
        <v>17</v>
      </c>
      <c r="B47" t="s">
        <v>57</v>
      </c>
      <c r="C47">
        <v>255</v>
      </c>
      <c r="D47" t="s">
        <v>25</v>
      </c>
      <c r="E47">
        <v>240</v>
      </c>
      <c r="F47" s="2">
        <v>46101</v>
      </c>
      <c r="G47">
        <v>1000</v>
      </c>
      <c r="H47">
        <v>0</v>
      </c>
      <c r="I47">
        <v>-240000</v>
      </c>
      <c r="M47">
        <v>1000</v>
      </c>
      <c r="P47">
        <v>-0.25</v>
      </c>
      <c r="Q47">
        <v>-63750</v>
      </c>
      <c r="R47" t="s">
        <v>20</v>
      </c>
      <c r="S47" t="s">
        <v>32</v>
      </c>
      <c r="T47" t="s">
        <v>28</v>
      </c>
    </row>
    <row r="48" spans="1:20" x14ac:dyDescent="0.35">
      <c r="A48" t="s">
        <v>17</v>
      </c>
      <c r="B48" t="s">
        <v>58</v>
      </c>
      <c r="C48">
        <v>328.14</v>
      </c>
      <c r="D48" t="s">
        <v>25</v>
      </c>
      <c r="E48">
        <v>340</v>
      </c>
      <c r="F48" s="2">
        <v>46024</v>
      </c>
      <c r="G48">
        <v>-100</v>
      </c>
      <c r="H48">
        <v>-1186.0000000000009</v>
      </c>
      <c r="I48">
        <v>34000</v>
      </c>
      <c r="J48">
        <v>34000</v>
      </c>
      <c r="K48">
        <v>-100</v>
      </c>
      <c r="P48">
        <v>-0.25</v>
      </c>
      <c r="Q48">
        <v>8203.5</v>
      </c>
      <c r="R48" t="s">
        <v>20</v>
      </c>
      <c r="S48" t="s">
        <v>50</v>
      </c>
      <c r="T48" t="s">
        <v>28</v>
      </c>
    </row>
    <row r="49" spans="1:20" x14ac:dyDescent="0.35">
      <c r="A49" t="s">
        <v>17</v>
      </c>
      <c r="B49" t="s">
        <v>59</v>
      </c>
      <c r="C49">
        <v>78.09</v>
      </c>
      <c r="D49" t="s">
        <v>25</v>
      </c>
      <c r="E49">
        <v>93</v>
      </c>
      <c r="F49" s="2">
        <v>46017</v>
      </c>
      <c r="G49">
        <v>-200</v>
      </c>
      <c r="H49">
        <v>-2981.9999999999991</v>
      </c>
      <c r="I49">
        <v>18600</v>
      </c>
      <c r="J49">
        <v>18600</v>
      </c>
      <c r="K49">
        <v>-200</v>
      </c>
      <c r="P49">
        <v>-1</v>
      </c>
      <c r="Q49">
        <v>15618</v>
      </c>
      <c r="R49" t="s">
        <v>20</v>
      </c>
      <c r="S49" t="s">
        <v>21</v>
      </c>
      <c r="T49" t="s">
        <v>22</v>
      </c>
    </row>
    <row r="50" spans="1:20" x14ac:dyDescent="0.35">
      <c r="A50" t="s">
        <v>29</v>
      </c>
      <c r="B50" t="s">
        <v>60</v>
      </c>
      <c r="C50">
        <v>30.475000000000001</v>
      </c>
      <c r="D50" t="s">
        <v>25</v>
      </c>
      <c r="E50">
        <v>32</v>
      </c>
      <c r="F50" s="2">
        <v>46038</v>
      </c>
      <c r="G50">
        <v>-500</v>
      </c>
      <c r="H50">
        <v>-762.49999999999932</v>
      </c>
      <c r="I50">
        <v>16000</v>
      </c>
      <c r="J50">
        <v>16000</v>
      </c>
      <c r="K50">
        <v>-500</v>
      </c>
      <c r="P50">
        <v>-0.75</v>
      </c>
      <c r="Q50">
        <v>11428.125</v>
      </c>
      <c r="R50" t="s">
        <v>31</v>
      </c>
      <c r="S50" t="s">
        <v>61</v>
      </c>
      <c r="T50" t="s">
        <v>28</v>
      </c>
    </row>
    <row r="51" spans="1:20" x14ac:dyDescent="0.35">
      <c r="A51" t="s">
        <v>17</v>
      </c>
      <c r="B51" t="s">
        <v>65</v>
      </c>
      <c r="C51">
        <v>694.37</v>
      </c>
      <c r="D51" t="s">
        <v>25</v>
      </c>
      <c r="E51">
        <v>675</v>
      </c>
      <c r="F51" s="2">
        <v>46031</v>
      </c>
      <c r="G51">
        <v>-100</v>
      </c>
      <c r="H51">
        <v>0</v>
      </c>
      <c r="I51">
        <v>67500</v>
      </c>
      <c r="M51">
        <v>-100</v>
      </c>
      <c r="P51">
        <v>-0.25</v>
      </c>
      <c r="Q51">
        <v>17359.25</v>
      </c>
      <c r="R51" t="s">
        <v>20</v>
      </c>
      <c r="S51" t="s">
        <v>21</v>
      </c>
      <c r="T51" t="s">
        <v>22</v>
      </c>
    </row>
    <row r="52" spans="1:20" x14ac:dyDescent="0.35">
      <c r="A52" t="s">
        <v>23</v>
      </c>
      <c r="B52" t="s">
        <v>54</v>
      </c>
      <c r="C52">
        <v>23.774999999999999</v>
      </c>
      <c r="D52" t="s">
        <v>25</v>
      </c>
      <c r="E52">
        <v>22.5</v>
      </c>
      <c r="F52" s="2">
        <v>46038</v>
      </c>
      <c r="G52">
        <v>-500</v>
      </c>
      <c r="H52">
        <v>0</v>
      </c>
      <c r="I52">
        <v>11250</v>
      </c>
      <c r="M52">
        <v>-500</v>
      </c>
      <c r="P52">
        <v>-0.25</v>
      </c>
      <c r="Q52">
        <v>2971.875</v>
      </c>
      <c r="R52" t="s">
        <v>31</v>
      </c>
      <c r="S52" t="s">
        <v>27</v>
      </c>
      <c r="T52" t="s">
        <v>28</v>
      </c>
    </row>
    <row r="53" spans="1:20" x14ac:dyDescent="0.35">
      <c r="A53" t="s">
        <v>17</v>
      </c>
      <c r="B53" t="s">
        <v>67</v>
      </c>
      <c r="C53">
        <v>385.9</v>
      </c>
      <c r="D53" t="s">
        <v>25</v>
      </c>
      <c r="E53">
        <v>370</v>
      </c>
      <c r="F53" s="2">
        <v>46038</v>
      </c>
      <c r="G53">
        <v>-100</v>
      </c>
      <c r="H53">
        <v>0</v>
      </c>
      <c r="I53">
        <v>37000</v>
      </c>
      <c r="M53">
        <v>-100</v>
      </c>
      <c r="P53">
        <v>-0.25</v>
      </c>
      <c r="Q53">
        <v>9647.5</v>
      </c>
      <c r="R53" t="s">
        <v>34</v>
      </c>
      <c r="S53" t="s">
        <v>68</v>
      </c>
      <c r="T53" t="s">
        <v>28</v>
      </c>
    </row>
    <row r="54" spans="1:20" x14ac:dyDescent="0.35">
      <c r="A54" t="s">
        <v>17</v>
      </c>
      <c r="B54" t="s">
        <v>70</v>
      </c>
      <c r="C54">
        <v>56.77</v>
      </c>
      <c r="D54" t="s">
        <v>25</v>
      </c>
      <c r="E54">
        <v>57.5</v>
      </c>
      <c r="F54" s="2">
        <v>46038</v>
      </c>
      <c r="G54">
        <v>-100</v>
      </c>
      <c r="H54">
        <v>-72.999999999999687</v>
      </c>
      <c r="I54">
        <v>5750</v>
      </c>
      <c r="J54">
        <v>5750</v>
      </c>
      <c r="K54">
        <v>-100</v>
      </c>
      <c r="P54">
        <v>-0.5</v>
      </c>
      <c r="Q54">
        <v>2838.5</v>
      </c>
      <c r="R54" t="s">
        <v>20</v>
      </c>
      <c r="S54" t="s">
        <v>64</v>
      </c>
      <c r="T54" t="s">
        <v>28</v>
      </c>
    </row>
    <row r="55" spans="1:20" x14ac:dyDescent="0.35">
      <c r="A55" t="s">
        <v>17</v>
      </c>
      <c r="B55" t="s">
        <v>71</v>
      </c>
      <c r="C55">
        <v>65.63</v>
      </c>
      <c r="D55" t="s">
        <v>25</v>
      </c>
      <c r="E55">
        <v>61</v>
      </c>
      <c r="F55" s="2">
        <v>46024</v>
      </c>
      <c r="G55">
        <v>-100</v>
      </c>
      <c r="H55">
        <v>0</v>
      </c>
      <c r="I55">
        <v>6100</v>
      </c>
      <c r="M55">
        <v>-100</v>
      </c>
      <c r="P55">
        <v>-0.25</v>
      </c>
      <c r="Q55">
        <v>1640.75</v>
      </c>
      <c r="R55" t="s">
        <v>20</v>
      </c>
      <c r="S55" t="s">
        <v>35</v>
      </c>
      <c r="T55" t="s">
        <v>28</v>
      </c>
    </row>
    <row r="56" spans="1:20" x14ac:dyDescent="0.35">
      <c r="A56" t="s">
        <v>29</v>
      </c>
      <c r="B56" t="s">
        <v>30</v>
      </c>
      <c r="C56">
        <v>951</v>
      </c>
      <c r="D56" t="s">
        <v>25</v>
      </c>
      <c r="E56">
        <v>900</v>
      </c>
      <c r="F56" s="2">
        <v>46101</v>
      </c>
      <c r="G56">
        <v>300</v>
      </c>
      <c r="H56">
        <v>0</v>
      </c>
      <c r="I56">
        <v>-270000</v>
      </c>
      <c r="M56">
        <v>300</v>
      </c>
      <c r="P56">
        <v>-0.25</v>
      </c>
      <c r="Q56">
        <v>-71325</v>
      </c>
      <c r="R56" t="s">
        <v>31</v>
      </c>
      <c r="S56" t="s">
        <v>32</v>
      </c>
      <c r="T56" t="s">
        <v>28</v>
      </c>
    </row>
    <row r="57" spans="1:20" x14ac:dyDescent="0.35">
      <c r="A57" t="s">
        <v>17</v>
      </c>
      <c r="B57" t="s">
        <v>72</v>
      </c>
      <c r="C57">
        <v>185.69</v>
      </c>
      <c r="D57" t="s">
        <v>25</v>
      </c>
      <c r="E57">
        <v>170</v>
      </c>
      <c r="F57" s="2">
        <v>46017</v>
      </c>
      <c r="G57">
        <v>-300</v>
      </c>
      <c r="H57">
        <v>0</v>
      </c>
      <c r="I57">
        <v>51000</v>
      </c>
      <c r="M57">
        <v>-300</v>
      </c>
      <c r="P57">
        <v>-0.25</v>
      </c>
      <c r="Q57">
        <v>13926.75</v>
      </c>
      <c r="R57" t="s">
        <v>20</v>
      </c>
      <c r="S57" t="s">
        <v>21</v>
      </c>
      <c r="T57" t="s">
        <v>22</v>
      </c>
    </row>
    <row r="58" spans="1:20" x14ac:dyDescent="0.35">
      <c r="A58" t="s">
        <v>17</v>
      </c>
      <c r="B58" t="s">
        <v>18</v>
      </c>
      <c r="C58">
        <v>117.16</v>
      </c>
      <c r="D58" t="s">
        <v>25</v>
      </c>
      <c r="E58">
        <v>120</v>
      </c>
      <c r="F58" s="2">
        <v>46017</v>
      </c>
      <c r="G58">
        <v>-200</v>
      </c>
      <c r="H58">
        <v>-568.00000000000068</v>
      </c>
      <c r="I58">
        <v>24000</v>
      </c>
      <c r="J58">
        <v>24000</v>
      </c>
      <c r="K58">
        <v>-200</v>
      </c>
      <c r="P58">
        <v>-0.5</v>
      </c>
      <c r="Q58">
        <v>11716</v>
      </c>
      <c r="R58" t="s">
        <v>20</v>
      </c>
      <c r="S58" t="s">
        <v>21</v>
      </c>
      <c r="T58" t="s">
        <v>22</v>
      </c>
    </row>
    <row r="59" spans="1:20" x14ac:dyDescent="0.35">
      <c r="A59" t="s">
        <v>17</v>
      </c>
      <c r="B59" t="s">
        <v>73</v>
      </c>
      <c r="C59">
        <v>684</v>
      </c>
      <c r="D59" t="s">
        <v>25</v>
      </c>
      <c r="E59">
        <v>640</v>
      </c>
      <c r="F59" s="2">
        <v>46101</v>
      </c>
      <c r="G59">
        <v>100</v>
      </c>
      <c r="H59">
        <v>0</v>
      </c>
      <c r="I59">
        <v>-64000</v>
      </c>
      <c r="M59">
        <v>100</v>
      </c>
      <c r="P59">
        <v>-0.25</v>
      </c>
      <c r="Q59">
        <v>-17100</v>
      </c>
      <c r="R59" t="s">
        <v>20</v>
      </c>
      <c r="S59" t="s">
        <v>32</v>
      </c>
      <c r="T59" t="s">
        <v>28</v>
      </c>
    </row>
    <row r="60" spans="1:20" x14ac:dyDescent="0.35">
      <c r="A60" t="s">
        <v>23</v>
      </c>
      <c r="B60" t="s">
        <v>30</v>
      </c>
      <c r="C60">
        <v>951</v>
      </c>
      <c r="D60" t="s">
        <v>25</v>
      </c>
      <c r="E60">
        <v>920</v>
      </c>
      <c r="F60" s="2">
        <v>46101</v>
      </c>
      <c r="G60">
        <v>300</v>
      </c>
      <c r="H60">
        <v>0</v>
      </c>
      <c r="I60">
        <v>-276000</v>
      </c>
      <c r="M60">
        <v>300</v>
      </c>
      <c r="P60">
        <v>-0.25</v>
      </c>
      <c r="Q60">
        <v>-71325</v>
      </c>
      <c r="R60" t="s">
        <v>31</v>
      </c>
      <c r="S60" t="s">
        <v>32</v>
      </c>
      <c r="T60" t="s">
        <v>28</v>
      </c>
    </row>
    <row r="61" spans="1:20" x14ac:dyDescent="0.35">
      <c r="A61" t="s">
        <v>29</v>
      </c>
      <c r="B61" t="s">
        <v>30</v>
      </c>
      <c r="C61">
        <v>951</v>
      </c>
      <c r="D61" t="s">
        <v>25</v>
      </c>
      <c r="E61">
        <v>935</v>
      </c>
      <c r="F61" s="2">
        <v>46016</v>
      </c>
      <c r="G61">
        <v>-100</v>
      </c>
      <c r="H61">
        <v>0</v>
      </c>
      <c r="I61">
        <v>93500</v>
      </c>
      <c r="M61">
        <v>-100</v>
      </c>
      <c r="P61">
        <v>-0.5</v>
      </c>
      <c r="Q61">
        <v>47550</v>
      </c>
      <c r="R61" t="s">
        <v>31</v>
      </c>
      <c r="S61" t="s">
        <v>32</v>
      </c>
      <c r="T61" t="s">
        <v>28</v>
      </c>
    </row>
    <row r="62" spans="1:20" x14ac:dyDescent="0.35">
      <c r="A62" t="s">
        <v>29</v>
      </c>
      <c r="B62" t="s">
        <v>76</v>
      </c>
      <c r="C62">
        <v>124.62</v>
      </c>
      <c r="D62" t="s">
        <v>25</v>
      </c>
      <c r="E62">
        <v>127</v>
      </c>
      <c r="F62" s="2">
        <v>46017</v>
      </c>
      <c r="G62">
        <v>-100</v>
      </c>
      <c r="H62">
        <v>-237.99999999999949</v>
      </c>
      <c r="I62">
        <v>12700</v>
      </c>
      <c r="J62">
        <v>12700</v>
      </c>
      <c r="K62">
        <v>-100</v>
      </c>
      <c r="P62">
        <v>-0.5</v>
      </c>
      <c r="Q62">
        <v>6231</v>
      </c>
      <c r="R62" t="s">
        <v>20</v>
      </c>
      <c r="S62" t="s">
        <v>45</v>
      </c>
      <c r="T62" t="s">
        <v>22</v>
      </c>
    </row>
    <row r="63" spans="1:20" x14ac:dyDescent="0.35">
      <c r="A63" t="s">
        <v>17</v>
      </c>
      <c r="B63" t="s">
        <v>74</v>
      </c>
      <c r="C63">
        <v>46.62</v>
      </c>
      <c r="D63" t="s">
        <v>25</v>
      </c>
      <c r="E63">
        <v>47</v>
      </c>
      <c r="F63" s="2">
        <v>46038</v>
      </c>
      <c r="G63">
        <v>-300</v>
      </c>
      <c r="H63">
        <v>-114.0000000000008</v>
      </c>
      <c r="I63">
        <v>14100</v>
      </c>
      <c r="J63">
        <v>14100</v>
      </c>
      <c r="K63">
        <v>-300</v>
      </c>
      <c r="P63">
        <v>-0.5</v>
      </c>
      <c r="Q63">
        <v>6993</v>
      </c>
      <c r="R63" t="s">
        <v>34</v>
      </c>
      <c r="S63" t="s">
        <v>39</v>
      </c>
      <c r="T63" t="s">
        <v>28</v>
      </c>
    </row>
    <row r="64" spans="1:20" x14ac:dyDescent="0.35">
      <c r="A64" t="s">
        <v>29</v>
      </c>
      <c r="B64" t="s">
        <v>56</v>
      </c>
      <c r="C64">
        <v>38.71</v>
      </c>
      <c r="D64" t="s">
        <v>25</v>
      </c>
      <c r="E64">
        <v>35</v>
      </c>
      <c r="F64" s="2">
        <v>46038</v>
      </c>
      <c r="G64">
        <v>-100</v>
      </c>
      <c r="H64">
        <v>0</v>
      </c>
      <c r="I64">
        <v>3500</v>
      </c>
      <c r="M64">
        <v>-100</v>
      </c>
      <c r="P64">
        <v>-0.25</v>
      </c>
      <c r="Q64">
        <v>967.75</v>
      </c>
      <c r="R64" t="s">
        <v>31</v>
      </c>
      <c r="S64" t="s">
        <v>41</v>
      </c>
      <c r="T64" t="s">
        <v>28</v>
      </c>
    </row>
    <row r="65" spans="1:20" x14ac:dyDescent="0.35">
      <c r="A65" t="s">
        <v>23</v>
      </c>
      <c r="B65" t="s">
        <v>77</v>
      </c>
      <c r="C65">
        <v>64.52</v>
      </c>
      <c r="D65" t="s">
        <v>25</v>
      </c>
      <c r="E65">
        <v>60</v>
      </c>
      <c r="F65" s="2">
        <v>46038</v>
      </c>
      <c r="G65">
        <v>-100</v>
      </c>
      <c r="H65">
        <v>0</v>
      </c>
      <c r="I65">
        <v>6000</v>
      </c>
      <c r="M65">
        <v>-100</v>
      </c>
      <c r="P65">
        <v>-0.25</v>
      </c>
      <c r="Q65">
        <v>1613</v>
      </c>
      <c r="R65" t="s">
        <v>31</v>
      </c>
      <c r="S65" t="s">
        <v>68</v>
      </c>
      <c r="T65" t="s">
        <v>28</v>
      </c>
    </row>
    <row r="66" spans="1:20" x14ac:dyDescent="0.35">
      <c r="A66" t="s">
        <v>29</v>
      </c>
      <c r="B66" t="s">
        <v>48</v>
      </c>
      <c r="C66">
        <v>34.9</v>
      </c>
      <c r="D66" t="s">
        <v>25</v>
      </c>
      <c r="E66">
        <v>36</v>
      </c>
      <c r="F66" s="2">
        <v>46038</v>
      </c>
      <c r="G66">
        <v>-900</v>
      </c>
      <c r="H66">
        <v>-990.00000000000125</v>
      </c>
      <c r="I66">
        <v>32400</v>
      </c>
      <c r="J66">
        <v>32400</v>
      </c>
      <c r="K66">
        <v>-900</v>
      </c>
      <c r="P66">
        <v>-0.25</v>
      </c>
      <c r="Q66">
        <v>7852.5</v>
      </c>
      <c r="R66" t="s">
        <v>31</v>
      </c>
      <c r="S66" t="s">
        <v>43</v>
      </c>
      <c r="T66" t="s">
        <v>28</v>
      </c>
    </row>
    <row r="67" spans="1:20" x14ac:dyDescent="0.35">
      <c r="A67" t="s">
        <v>29</v>
      </c>
      <c r="B67" t="s">
        <v>78</v>
      </c>
      <c r="C67">
        <v>52.32</v>
      </c>
      <c r="D67" t="s">
        <v>25</v>
      </c>
      <c r="E67">
        <v>56</v>
      </c>
      <c r="F67" s="2">
        <v>46038</v>
      </c>
      <c r="G67">
        <v>-200</v>
      </c>
      <c r="H67">
        <v>-736</v>
      </c>
      <c r="I67">
        <v>11200</v>
      </c>
      <c r="J67">
        <v>11200</v>
      </c>
      <c r="K67">
        <v>-200</v>
      </c>
      <c r="P67">
        <v>-0.75</v>
      </c>
      <c r="Q67">
        <v>7848</v>
      </c>
      <c r="R67" t="s">
        <v>31</v>
      </c>
      <c r="S67" t="s">
        <v>21</v>
      </c>
      <c r="T67" t="s">
        <v>22</v>
      </c>
    </row>
    <row r="68" spans="1:20" x14ac:dyDescent="0.35">
      <c r="A68" t="s">
        <v>17</v>
      </c>
      <c r="B68" t="s">
        <v>57</v>
      </c>
      <c r="C68">
        <v>255</v>
      </c>
      <c r="D68" t="s">
        <v>25</v>
      </c>
      <c r="E68">
        <v>222</v>
      </c>
      <c r="F68" s="2">
        <v>46101</v>
      </c>
      <c r="G68">
        <v>-1000</v>
      </c>
      <c r="H68">
        <v>0</v>
      </c>
      <c r="I68">
        <v>222000</v>
      </c>
      <c r="M68">
        <v>-1000</v>
      </c>
      <c r="P68">
        <v>-0.25</v>
      </c>
      <c r="Q68">
        <v>63750</v>
      </c>
      <c r="R68" t="s">
        <v>20</v>
      </c>
      <c r="S68" t="s">
        <v>32</v>
      </c>
      <c r="T68" t="s">
        <v>28</v>
      </c>
    </row>
    <row r="69" spans="1:20" x14ac:dyDescent="0.35">
      <c r="A69" t="s">
        <v>29</v>
      </c>
      <c r="B69" t="s">
        <v>79</v>
      </c>
      <c r="C69">
        <v>131.44999999999999</v>
      </c>
      <c r="D69" t="s">
        <v>25</v>
      </c>
      <c r="E69">
        <v>125</v>
      </c>
      <c r="F69" s="2">
        <v>46038</v>
      </c>
      <c r="G69">
        <v>-100</v>
      </c>
      <c r="H69">
        <v>0</v>
      </c>
      <c r="I69">
        <v>12500</v>
      </c>
      <c r="M69">
        <v>-100</v>
      </c>
      <c r="P69">
        <v>-0.25</v>
      </c>
      <c r="Q69">
        <v>3286.25</v>
      </c>
      <c r="R69" t="s">
        <v>31</v>
      </c>
      <c r="S69" t="s">
        <v>45</v>
      </c>
      <c r="T69" t="s">
        <v>46</v>
      </c>
    </row>
    <row r="70" spans="1:20" x14ac:dyDescent="0.35">
      <c r="A70" t="s">
        <v>23</v>
      </c>
      <c r="B70" t="s">
        <v>78</v>
      </c>
      <c r="C70">
        <v>52.32</v>
      </c>
      <c r="D70" t="s">
        <v>25</v>
      </c>
      <c r="E70">
        <v>57</v>
      </c>
      <c r="F70" s="2">
        <v>46038</v>
      </c>
      <c r="G70">
        <v>-200</v>
      </c>
      <c r="H70">
        <v>-936</v>
      </c>
      <c r="I70">
        <v>11400</v>
      </c>
      <c r="J70">
        <v>11400</v>
      </c>
      <c r="K70">
        <v>-200</v>
      </c>
      <c r="P70">
        <v>-0.75</v>
      </c>
      <c r="Q70">
        <v>7848</v>
      </c>
      <c r="R70" t="s">
        <v>31</v>
      </c>
      <c r="S70" t="s">
        <v>21</v>
      </c>
      <c r="T70" t="s">
        <v>22</v>
      </c>
    </row>
    <row r="71" spans="1:20" x14ac:dyDescent="0.35">
      <c r="A71" t="s">
        <v>17</v>
      </c>
      <c r="B71" t="s">
        <v>80</v>
      </c>
      <c r="C71">
        <v>561.89</v>
      </c>
      <c r="D71" t="s">
        <v>25</v>
      </c>
      <c r="E71">
        <v>500</v>
      </c>
      <c r="F71" s="2">
        <v>46038</v>
      </c>
      <c r="G71">
        <v>-100</v>
      </c>
      <c r="H71">
        <v>0</v>
      </c>
      <c r="I71">
        <v>50000</v>
      </c>
      <c r="M71">
        <v>-100</v>
      </c>
      <c r="P71">
        <v>-0.25</v>
      </c>
      <c r="Q71">
        <v>14047.25</v>
      </c>
      <c r="R71" t="s">
        <v>20</v>
      </c>
      <c r="S71" t="s">
        <v>50</v>
      </c>
      <c r="T71" t="s">
        <v>22</v>
      </c>
    </row>
    <row r="72" spans="1:20" x14ac:dyDescent="0.35">
      <c r="A72" t="s">
        <v>17</v>
      </c>
      <c r="B72" t="s">
        <v>81</v>
      </c>
      <c r="C72">
        <v>180.03</v>
      </c>
      <c r="D72" t="s">
        <v>25</v>
      </c>
      <c r="E72">
        <v>170</v>
      </c>
      <c r="F72" s="2">
        <v>46038</v>
      </c>
      <c r="G72">
        <v>-100</v>
      </c>
      <c r="H72">
        <v>0</v>
      </c>
      <c r="I72">
        <v>17000</v>
      </c>
      <c r="M72">
        <v>-100</v>
      </c>
      <c r="P72">
        <v>-0.25</v>
      </c>
      <c r="Q72">
        <v>4500.75</v>
      </c>
      <c r="R72" t="s">
        <v>20</v>
      </c>
      <c r="S72" t="s">
        <v>21</v>
      </c>
      <c r="T72" t="s">
        <v>22</v>
      </c>
    </row>
    <row r="73" spans="1:20" x14ac:dyDescent="0.35">
      <c r="A73" t="s">
        <v>23</v>
      </c>
      <c r="B73" t="s">
        <v>83</v>
      </c>
      <c r="C73">
        <v>517.79999999999995</v>
      </c>
      <c r="D73" t="s">
        <v>25</v>
      </c>
      <c r="E73">
        <v>500</v>
      </c>
      <c r="F73" s="2">
        <v>46016</v>
      </c>
      <c r="G73">
        <v>-100</v>
      </c>
      <c r="H73">
        <v>0</v>
      </c>
      <c r="I73">
        <v>50000</v>
      </c>
      <c r="M73">
        <v>-100</v>
      </c>
      <c r="P73">
        <v>-0.25</v>
      </c>
      <c r="Q73">
        <v>12945</v>
      </c>
      <c r="R73" t="s">
        <v>31</v>
      </c>
      <c r="S73" t="s">
        <v>45</v>
      </c>
      <c r="T73" t="s">
        <v>46</v>
      </c>
    </row>
    <row r="74" spans="1:20" x14ac:dyDescent="0.35">
      <c r="A74" t="s">
        <v>17</v>
      </c>
      <c r="B74" t="s">
        <v>84</v>
      </c>
      <c r="C74">
        <v>147.32</v>
      </c>
      <c r="D74" t="s">
        <v>25</v>
      </c>
      <c r="E74">
        <v>155</v>
      </c>
      <c r="F74" s="2">
        <v>46017</v>
      </c>
      <c r="G74">
        <v>-100</v>
      </c>
      <c r="H74">
        <v>-768.00000000000068</v>
      </c>
      <c r="I74">
        <v>15500</v>
      </c>
      <c r="J74">
        <v>15500</v>
      </c>
      <c r="K74">
        <v>-100</v>
      </c>
      <c r="P74">
        <v>-0.75</v>
      </c>
      <c r="Q74">
        <v>11049</v>
      </c>
      <c r="R74" t="s">
        <v>20</v>
      </c>
      <c r="S74" t="s">
        <v>21</v>
      </c>
      <c r="T74" t="s">
        <v>22</v>
      </c>
    </row>
    <row r="75" spans="1:20" x14ac:dyDescent="0.35">
      <c r="A75" t="s">
        <v>17</v>
      </c>
      <c r="B75" t="s">
        <v>85</v>
      </c>
      <c r="C75">
        <v>87.58</v>
      </c>
      <c r="D75" t="s">
        <v>25</v>
      </c>
      <c r="E75">
        <v>94</v>
      </c>
      <c r="F75" s="2">
        <v>46017</v>
      </c>
      <c r="G75">
        <v>-100</v>
      </c>
      <c r="H75">
        <v>-642.00000000000023</v>
      </c>
      <c r="I75">
        <v>9400</v>
      </c>
      <c r="J75">
        <v>9400</v>
      </c>
      <c r="K75">
        <v>-100</v>
      </c>
      <c r="P75">
        <v>-0.75</v>
      </c>
      <c r="Q75">
        <v>6568.5</v>
      </c>
      <c r="R75" t="s">
        <v>20</v>
      </c>
      <c r="S75" t="s">
        <v>61</v>
      </c>
      <c r="T75" t="s">
        <v>22</v>
      </c>
    </row>
    <row r="76" spans="1:20" x14ac:dyDescent="0.35">
      <c r="A76" t="s">
        <v>23</v>
      </c>
      <c r="B76" t="s">
        <v>86</v>
      </c>
      <c r="C76">
        <v>59.92</v>
      </c>
      <c r="D76" t="s">
        <v>25</v>
      </c>
      <c r="E76">
        <v>59</v>
      </c>
      <c r="F76" s="2">
        <v>46038</v>
      </c>
      <c r="G76">
        <v>-200</v>
      </c>
      <c r="H76">
        <v>0</v>
      </c>
      <c r="I76">
        <v>11800</v>
      </c>
      <c r="M76">
        <v>-200</v>
      </c>
      <c r="P76">
        <v>-0.5</v>
      </c>
      <c r="Q76">
        <v>5992</v>
      </c>
      <c r="R76" t="s">
        <v>31</v>
      </c>
      <c r="S76" t="s">
        <v>68</v>
      </c>
      <c r="T76" t="s">
        <v>28</v>
      </c>
    </row>
    <row r="77" spans="1:20" x14ac:dyDescent="0.35">
      <c r="A77" t="s">
        <v>29</v>
      </c>
      <c r="B77" t="s">
        <v>89</v>
      </c>
      <c r="C77">
        <v>90.74</v>
      </c>
      <c r="D77" t="s">
        <v>25</v>
      </c>
      <c r="E77">
        <v>90</v>
      </c>
      <c r="F77" s="2">
        <v>46038</v>
      </c>
      <c r="G77">
        <v>-100</v>
      </c>
      <c r="H77">
        <v>0</v>
      </c>
      <c r="I77">
        <v>9000</v>
      </c>
      <c r="M77">
        <v>-100</v>
      </c>
      <c r="P77">
        <v>-0.5</v>
      </c>
      <c r="Q77">
        <v>4537</v>
      </c>
      <c r="R77" t="s">
        <v>31</v>
      </c>
      <c r="S77" t="s">
        <v>43</v>
      </c>
      <c r="T77" t="s">
        <v>28</v>
      </c>
    </row>
    <row r="78" spans="1:20" x14ac:dyDescent="0.35">
      <c r="A78" t="s">
        <v>17</v>
      </c>
      <c r="B78" t="s">
        <v>90</v>
      </c>
      <c r="C78">
        <v>70.36</v>
      </c>
      <c r="D78" t="s">
        <v>25</v>
      </c>
      <c r="E78">
        <v>71</v>
      </c>
      <c r="F78" s="2">
        <v>46031</v>
      </c>
      <c r="G78">
        <v>-100</v>
      </c>
      <c r="H78">
        <v>-64.000000000000057</v>
      </c>
      <c r="I78">
        <v>7100</v>
      </c>
      <c r="J78">
        <v>7100</v>
      </c>
      <c r="K78">
        <v>-100</v>
      </c>
      <c r="P78">
        <v>-0.5</v>
      </c>
      <c r="Q78">
        <v>3518</v>
      </c>
      <c r="R78" t="s">
        <v>20</v>
      </c>
      <c r="S78" t="s">
        <v>43</v>
      </c>
      <c r="T78" t="s">
        <v>28</v>
      </c>
    </row>
    <row r="79" spans="1:20" x14ac:dyDescent="0.35">
      <c r="A79" t="s">
        <v>23</v>
      </c>
      <c r="B79" t="s">
        <v>78</v>
      </c>
      <c r="C79">
        <v>52.32</v>
      </c>
      <c r="D79" t="s">
        <v>25</v>
      </c>
      <c r="E79">
        <v>56</v>
      </c>
      <c r="F79" s="2">
        <v>46038</v>
      </c>
      <c r="G79">
        <v>-100</v>
      </c>
      <c r="H79">
        <v>-368</v>
      </c>
      <c r="I79">
        <v>5600</v>
      </c>
      <c r="J79">
        <v>5600</v>
      </c>
      <c r="K79">
        <v>-100</v>
      </c>
      <c r="P79">
        <v>-0.75</v>
      </c>
      <c r="Q79">
        <v>3924</v>
      </c>
      <c r="R79" t="s">
        <v>31</v>
      </c>
      <c r="S79" t="s">
        <v>21</v>
      </c>
      <c r="T79" t="s">
        <v>22</v>
      </c>
    </row>
    <row r="80" spans="1:20" x14ac:dyDescent="0.35">
      <c r="A80" t="s">
        <v>17</v>
      </c>
      <c r="B80" t="s">
        <v>73</v>
      </c>
      <c r="C80">
        <v>684</v>
      </c>
      <c r="D80" t="s">
        <v>25</v>
      </c>
      <c r="E80">
        <v>600</v>
      </c>
      <c r="F80" s="2">
        <v>46101</v>
      </c>
      <c r="G80">
        <v>-100</v>
      </c>
      <c r="H80">
        <v>0</v>
      </c>
      <c r="I80">
        <v>60000</v>
      </c>
      <c r="M80">
        <v>-100</v>
      </c>
      <c r="P80">
        <v>-0.25</v>
      </c>
      <c r="Q80">
        <v>17100</v>
      </c>
      <c r="R80" t="s">
        <v>20</v>
      </c>
      <c r="S80" t="s">
        <v>32</v>
      </c>
      <c r="T80" t="s">
        <v>28</v>
      </c>
    </row>
    <row r="81" spans="1:20" x14ac:dyDescent="0.35">
      <c r="A81" t="s">
        <v>29</v>
      </c>
      <c r="B81" t="s">
        <v>58</v>
      </c>
      <c r="C81">
        <v>328.14</v>
      </c>
      <c r="D81" t="s">
        <v>25</v>
      </c>
      <c r="E81">
        <v>340</v>
      </c>
      <c r="F81" s="2">
        <v>46024</v>
      </c>
      <c r="G81">
        <v>-100</v>
      </c>
      <c r="H81">
        <v>-1186.0000000000009</v>
      </c>
      <c r="I81">
        <v>34000</v>
      </c>
      <c r="J81">
        <v>34000</v>
      </c>
      <c r="K81">
        <v>-100</v>
      </c>
      <c r="P81">
        <v>-0.25</v>
      </c>
      <c r="Q81">
        <v>8203.5</v>
      </c>
      <c r="R81" t="s">
        <v>20</v>
      </c>
      <c r="S81" t="s">
        <v>50</v>
      </c>
      <c r="T81" t="s">
        <v>28</v>
      </c>
    </row>
    <row r="82" spans="1:20" x14ac:dyDescent="0.35">
      <c r="A82" t="s">
        <v>29</v>
      </c>
      <c r="B82" t="s">
        <v>91</v>
      </c>
      <c r="C82">
        <v>31.62</v>
      </c>
      <c r="D82" t="s">
        <v>25</v>
      </c>
      <c r="E82">
        <v>32</v>
      </c>
      <c r="F82" s="2">
        <v>46038</v>
      </c>
      <c r="G82">
        <v>-200</v>
      </c>
      <c r="H82">
        <v>-75.999999999999801</v>
      </c>
      <c r="I82">
        <v>6400</v>
      </c>
      <c r="J82">
        <v>6400</v>
      </c>
      <c r="K82">
        <v>-200</v>
      </c>
      <c r="P82">
        <v>-0.5</v>
      </c>
      <c r="Q82">
        <v>3162</v>
      </c>
      <c r="R82" t="s">
        <v>31</v>
      </c>
      <c r="S82" t="s">
        <v>43</v>
      </c>
      <c r="T82" t="s">
        <v>28</v>
      </c>
    </row>
    <row r="83" spans="1:20" x14ac:dyDescent="0.35">
      <c r="A83" t="s">
        <v>29</v>
      </c>
      <c r="B83" t="s">
        <v>63</v>
      </c>
      <c r="C83">
        <v>93.06</v>
      </c>
      <c r="D83" t="s">
        <v>25</v>
      </c>
      <c r="E83">
        <v>91</v>
      </c>
      <c r="F83" s="2">
        <v>46038</v>
      </c>
      <c r="G83">
        <v>-100</v>
      </c>
      <c r="H83">
        <v>0</v>
      </c>
      <c r="I83">
        <v>9100</v>
      </c>
      <c r="M83">
        <v>-100</v>
      </c>
      <c r="P83">
        <v>-0.5</v>
      </c>
      <c r="Q83">
        <v>4653</v>
      </c>
      <c r="R83" t="s">
        <v>31</v>
      </c>
      <c r="S83" t="s">
        <v>64</v>
      </c>
      <c r="T83" t="s">
        <v>28</v>
      </c>
    </row>
    <row r="84" spans="1:20" x14ac:dyDescent="0.35">
      <c r="A84" t="s">
        <v>29</v>
      </c>
      <c r="B84" t="s">
        <v>92</v>
      </c>
      <c r="C84">
        <v>892.7</v>
      </c>
      <c r="D84" t="s">
        <v>25</v>
      </c>
      <c r="E84">
        <v>900</v>
      </c>
      <c r="F84" s="2">
        <v>46016</v>
      </c>
      <c r="G84">
        <v>-100</v>
      </c>
      <c r="H84">
        <v>-729.99999999999545</v>
      </c>
      <c r="I84">
        <v>90000</v>
      </c>
      <c r="J84">
        <v>90000</v>
      </c>
      <c r="K84">
        <v>-100</v>
      </c>
      <c r="P84">
        <v>-0.5</v>
      </c>
      <c r="Q84">
        <v>44635</v>
      </c>
      <c r="R84" t="s">
        <v>31</v>
      </c>
      <c r="S84" t="s">
        <v>45</v>
      </c>
      <c r="T84" t="s">
        <v>46</v>
      </c>
    </row>
    <row r="85" spans="1:20" x14ac:dyDescent="0.35">
      <c r="A85" t="s">
        <v>17</v>
      </c>
      <c r="B85" t="s">
        <v>72</v>
      </c>
      <c r="C85">
        <v>185.69</v>
      </c>
      <c r="D85" t="s">
        <v>25</v>
      </c>
      <c r="E85">
        <v>177.5</v>
      </c>
      <c r="F85" s="2">
        <v>46017</v>
      </c>
      <c r="G85">
        <v>-100</v>
      </c>
      <c r="H85">
        <v>0</v>
      </c>
      <c r="I85">
        <v>17750</v>
      </c>
      <c r="M85">
        <v>-100</v>
      </c>
      <c r="P85">
        <v>-0.25</v>
      </c>
      <c r="Q85">
        <v>4642.25</v>
      </c>
      <c r="R85" t="s">
        <v>20</v>
      </c>
      <c r="S85" t="s">
        <v>21</v>
      </c>
      <c r="T85" t="s">
        <v>22</v>
      </c>
    </row>
    <row r="86" spans="1:20" x14ac:dyDescent="0.35">
      <c r="A86" t="s">
        <v>17</v>
      </c>
      <c r="B86" t="s">
        <v>44</v>
      </c>
      <c r="C86">
        <v>35.49</v>
      </c>
      <c r="D86" t="s">
        <v>25</v>
      </c>
      <c r="E86">
        <v>35</v>
      </c>
      <c r="F86" s="2">
        <v>46038</v>
      </c>
      <c r="G86">
        <v>-200</v>
      </c>
      <c r="H86">
        <v>0</v>
      </c>
      <c r="I86">
        <v>7000</v>
      </c>
      <c r="M86">
        <v>-200</v>
      </c>
      <c r="P86">
        <v>-0.5</v>
      </c>
      <c r="Q86">
        <v>3549</v>
      </c>
      <c r="R86" t="s">
        <v>34</v>
      </c>
      <c r="S86" t="s">
        <v>45</v>
      </c>
      <c r="T86" t="s">
        <v>46</v>
      </c>
    </row>
    <row r="87" spans="1:20" x14ac:dyDescent="0.35">
      <c r="A87" t="s">
        <v>29</v>
      </c>
      <c r="B87" t="s">
        <v>49</v>
      </c>
      <c r="C87">
        <v>35.299999999999997</v>
      </c>
      <c r="D87" t="s">
        <v>25</v>
      </c>
      <c r="E87">
        <v>35</v>
      </c>
      <c r="F87" s="2">
        <v>46038</v>
      </c>
      <c r="G87">
        <v>-400</v>
      </c>
      <c r="H87">
        <v>0</v>
      </c>
      <c r="I87">
        <v>14000</v>
      </c>
      <c r="M87">
        <v>-400</v>
      </c>
      <c r="P87">
        <v>-0.5</v>
      </c>
      <c r="Q87">
        <v>7059.9999999999991</v>
      </c>
      <c r="R87" t="s">
        <v>34</v>
      </c>
      <c r="S87" t="s">
        <v>50</v>
      </c>
      <c r="T87" t="s">
        <v>28</v>
      </c>
    </row>
    <row r="88" spans="1:20" x14ac:dyDescent="0.35">
      <c r="A88" t="s">
        <v>23</v>
      </c>
      <c r="B88" t="s">
        <v>30</v>
      </c>
      <c r="C88">
        <v>951</v>
      </c>
      <c r="D88" t="s">
        <v>25</v>
      </c>
      <c r="E88">
        <v>820</v>
      </c>
      <c r="F88" s="2">
        <v>46101</v>
      </c>
      <c r="G88">
        <v>-300</v>
      </c>
      <c r="H88">
        <v>0</v>
      </c>
      <c r="I88">
        <v>246000</v>
      </c>
      <c r="M88">
        <v>-300</v>
      </c>
      <c r="P88">
        <v>-0.25</v>
      </c>
      <c r="Q88">
        <v>71325</v>
      </c>
      <c r="R88" t="s">
        <v>31</v>
      </c>
      <c r="S88" t="s">
        <v>32</v>
      </c>
      <c r="T88" t="s">
        <v>28</v>
      </c>
    </row>
    <row r="89" spans="1:20" x14ac:dyDescent="0.35">
      <c r="A89" t="s">
        <v>17</v>
      </c>
      <c r="B89" t="s">
        <v>18</v>
      </c>
      <c r="C89">
        <v>117.16</v>
      </c>
      <c r="D89" t="s">
        <v>25</v>
      </c>
      <c r="E89">
        <v>124</v>
      </c>
      <c r="F89" s="2">
        <v>46017</v>
      </c>
      <c r="G89">
        <v>-100</v>
      </c>
      <c r="H89">
        <v>-684.00000000000034</v>
      </c>
      <c r="I89">
        <v>12400</v>
      </c>
      <c r="J89">
        <v>12400</v>
      </c>
      <c r="K89">
        <v>-100</v>
      </c>
      <c r="P89">
        <v>-0.75</v>
      </c>
      <c r="Q89">
        <v>8787</v>
      </c>
      <c r="R89" t="s">
        <v>20</v>
      </c>
      <c r="S89" t="s">
        <v>21</v>
      </c>
      <c r="T89" t="s">
        <v>22</v>
      </c>
    </row>
    <row r="90" spans="1:20" x14ac:dyDescent="0.35">
      <c r="A90" t="s">
        <v>29</v>
      </c>
      <c r="B90" t="s">
        <v>60</v>
      </c>
      <c r="C90">
        <v>30.475000000000001</v>
      </c>
      <c r="D90" t="s">
        <v>25</v>
      </c>
      <c r="E90">
        <v>31</v>
      </c>
      <c r="F90" s="2">
        <v>46038</v>
      </c>
      <c r="G90">
        <v>-400</v>
      </c>
      <c r="H90">
        <v>-209.9999999999994</v>
      </c>
      <c r="I90">
        <v>12400</v>
      </c>
      <c r="J90">
        <v>12400</v>
      </c>
      <c r="K90">
        <v>-400</v>
      </c>
      <c r="P90">
        <v>-0.5</v>
      </c>
      <c r="Q90">
        <v>6095</v>
      </c>
      <c r="R90" t="s">
        <v>31</v>
      </c>
      <c r="S90" t="s">
        <v>61</v>
      </c>
      <c r="T90" t="s">
        <v>28</v>
      </c>
    </row>
    <row r="91" spans="1:20" x14ac:dyDescent="0.35">
      <c r="A91" t="s">
        <v>29</v>
      </c>
      <c r="B91" t="s">
        <v>37</v>
      </c>
      <c r="C91">
        <v>93.06</v>
      </c>
      <c r="D91" t="s">
        <v>25</v>
      </c>
      <c r="E91">
        <v>95</v>
      </c>
      <c r="F91" s="2">
        <v>46038</v>
      </c>
      <c r="G91">
        <v>-200</v>
      </c>
      <c r="H91">
        <v>-387.99999999999949</v>
      </c>
      <c r="I91">
        <v>19000</v>
      </c>
      <c r="J91">
        <v>19000</v>
      </c>
      <c r="K91">
        <v>-200</v>
      </c>
      <c r="P91">
        <v>-0.5</v>
      </c>
      <c r="Q91">
        <v>9306</v>
      </c>
      <c r="R91" t="s">
        <v>34</v>
      </c>
      <c r="S91" t="s">
        <v>35</v>
      </c>
      <c r="T91" t="s">
        <v>28</v>
      </c>
    </row>
  </sheetData>
  <autoFilter ref="A1:T91" xr:uid="{00000000-0001-0000-0000-000000000000}">
    <sortState xmlns:xlrd2="http://schemas.microsoft.com/office/spreadsheetml/2017/richdata2" ref="A2:T91">
      <sortCondition ref="D1:D9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Onno Kievit</cp:lastModifiedBy>
  <dcterms:created xsi:type="dcterms:W3CDTF">2025-12-21T22:42:41Z</dcterms:created>
  <dcterms:modified xsi:type="dcterms:W3CDTF">2025-12-22T14:59:14Z</dcterms:modified>
</cp:coreProperties>
</file>