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thon_coding\portefeuille_viewer\portefeuille_viewer_experiment_0.13\"/>
    </mc:Choice>
  </mc:AlternateContent>
  <xr:revisionPtr revIDLastSave="0" documentId="13_ncr:1_{64E5053C-2F72-4F7E-B9B3-FB6791987CA4}" xr6:coauthVersionLast="47" xr6:coauthVersionMax="47" xr10:uidLastSave="{00000000-0000-0000-0000-000000000000}"/>
  <bookViews>
    <workbookView xWindow="1380" yWindow="-110" windowWidth="37130" windowHeight="21820" activeTab="1" xr2:uid="{00000000-000D-0000-FFFF-FFFF00000000}"/>
  </bookViews>
  <sheets>
    <sheet name="Blad1" sheetId="2" r:id="rId1"/>
    <sheet name="Sheet1" sheetId="1" r:id="rId2"/>
  </sheets>
  <definedNames>
    <definedName name="_xlnm._FilterDatabase" localSheetId="1" hidden="1">Sheet1!$A$1:$H$144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<sst xmlns="http://schemas.openxmlformats.org/spreadsheetml/2006/main" count="739" uniqueCount="132">
  <si>
    <t>broker</t>
  </si>
  <si>
    <t>asset_rollup</t>
  </si>
  <si>
    <t>regio</t>
  </si>
  <si>
    <t>sector</t>
  </si>
  <si>
    <t>value_grow</t>
  </si>
  <si>
    <t>koers</t>
  </si>
  <si>
    <t>aantal_bezit</t>
  </si>
  <si>
    <t>waarde_bezit</t>
  </si>
  <si>
    <t>interactive</t>
  </si>
  <si>
    <t>FDX</t>
  </si>
  <si>
    <t>US</t>
  </si>
  <si>
    <t>Industrials</t>
  </si>
  <si>
    <t>waarde</t>
  </si>
  <si>
    <t>GOOG</t>
  </si>
  <si>
    <t>Buss Tech Services</t>
  </si>
  <si>
    <t>mixed</t>
  </si>
  <si>
    <t>onbekend</t>
  </si>
  <si>
    <t>APPLE</t>
  </si>
  <si>
    <t>Inf Tech</t>
  </si>
  <si>
    <t>lynx</t>
  </si>
  <si>
    <t>ENB</t>
  </si>
  <si>
    <t>Energy</t>
  </si>
  <si>
    <t>PNL</t>
  </si>
  <si>
    <t>NL</t>
  </si>
  <si>
    <t>degiro</t>
  </si>
  <si>
    <t>ORDINA</t>
  </si>
  <si>
    <t>XSP</t>
  </si>
  <si>
    <t>Index</t>
  </si>
  <si>
    <t>AHOLD</t>
  </si>
  <si>
    <t>Cons Staples</t>
  </si>
  <si>
    <t>VOLKSWAGEN</t>
  </si>
  <si>
    <t>DE</t>
  </si>
  <si>
    <t>Cons Discr</t>
  </si>
  <si>
    <t>URW</t>
  </si>
  <si>
    <t>Real Estate</t>
  </si>
  <si>
    <t>UMG</t>
  </si>
  <si>
    <t>DHL</t>
  </si>
  <si>
    <t>SIGNIFY</t>
  </si>
  <si>
    <t>WKL</t>
  </si>
  <si>
    <t>CORRECTIE-BENCHMARK</t>
  </si>
  <si>
    <t>MICRON</t>
  </si>
  <si>
    <t>RAND</t>
  </si>
  <si>
    <t>UBER</t>
  </si>
  <si>
    <t>groei</t>
  </si>
  <si>
    <t>AGN</t>
  </si>
  <si>
    <t>Insurance</t>
  </si>
  <si>
    <t>EPD</t>
  </si>
  <si>
    <t>MDT</t>
  </si>
  <si>
    <t>Medical</t>
  </si>
  <si>
    <t>ING</t>
  </si>
  <si>
    <t>Financials</t>
  </si>
  <si>
    <t>ROBINHOOD</t>
  </si>
  <si>
    <t>HEINEKEN</t>
  </si>
  <si>
    <t>INTEL</t>
  </si>
  <si>
    <t>WALMART</t>
  </si>
  <si>
    <t>NN</t>
  </si>
  <si>
    <t>NDX</t>
  </si>
  <si>
    <t>MMM</t>
  </si>
  <si>
    <t>RIO</t>
  </si>
  <si>
    <t>Basic Materials</t>
  </si>
  <si>
    <t>CL</t>
  </si>
  <si>
    <t>UPS</t>
  </si>
  <si>
    <t>SNOW</t>
  </si>
  <si>
    <t>BATS</t>
  </si>
  <si>
    <t>UK</t>
  </si>
  <si>
    <t>WHA</t>
  </si>
  <si>
    <t>WDS</t>
  </si>
  <si>
    <t>PANW</t>
  </si>
  <si>
    <t>VALE</t>
  </si>
  <si>
    <t>UNILEVER</t>
  </si>
  <si>
    <t>NIKE</t>
  </si>
  <si>
    <t>BTI</t>
  </si>
  <si>
    <t>NVIDIA</t>
  </si>
  <si>
    <t>MT</t>
  </si>
  <si>
    <t>BAYER</t>
  </si>
  <si>
    <t>MAGNUM</t>
  </si>
  <si>
    <t>ORACLE</t>
  </si>
  <si>
    <t>XLV</t>
  </si>
  <si>
    <t>DANONE</t>
  </si>
  <si>
    <t>FR</t>
  </si>
  <si>
    <t>BESI</t>
  </si>
  <si>
    <t>OKTA</t>
  </si>
  <si>
    <t>SERVICENOW</t>
  </si>
  <si>
    <t>VZ</t>
  </si>
  <si>
    <t>Communication Serv</t>
  </si>
  <si>
    <t>BP</t>
  </si>
  <si>
    <t>ABN</t>
  </si>
  <si>
    <t>UNH</t>
  </si>
  <si>
    <t>TKWY</t>
  </si>
  <si>
    <t>BABA</t>
  </si>
  <si>
    <t>AMD</t>
  </si>
  <si>
    <t>VOPAK</t>
  </si>
  <si>
    <t>VFC</t>
  </si>
  <si>
    <t>O</t>
  </si>
  <si>
    <t>AEX</t>
  </si>
  <si>
    <t>ANET</t>
  </si>
  <si>
    <t>PLAN</t>
  </si>
  <si>
    <t>ISRG</t>
  </si>
  <si>
    <t>KO</t>
  </si>
  <si>
    <t>JNJ</t>
  </si>
  <si>
    <t>BHP</t>
  </si>
  <si>
    <t>NEBIUS</t>
  </si>
  <si>
    <t>ATT</t>
  </si>
  <si>
    <t>META</t>
  </si>
  <si>
    <t>BMW</t>
  </si>
  <si>
    <t>RELX</t>
  </si>
  <si>
    <t>PLTR</t>
  </si>
  <si>
    <t>PHIA</t>
  </si>
  <si>
    <t>ECMPA</t>
  </si>
  <si>
    <t>PROSUS</t>
  </si>
  <si>
    <t>RDSA</t>
  </si>
  <si>
    <t>KPN</t>
  </si>
  <si>
    <t>BASF</t>
  </si>
  <si>
    <t>XND</t>
  </si>
  <si>
    <t>MRK</t>
  </si>
  <si>
    <t>ASMI</t>
  </si>
  <si>
    <t>TBT</t>
  </si>
  <si>
    <t>AMZN</t>
  </si>
  <si>
    <t>UVXY</t>
  </si>
  <si>
    <t>PG</t>
  </si>
  <si>
    <t>INFINEON</t>
  </si>
  <si>
    <t>ASMLAEB</t>
  </si>
  <si>
    <t>ASR</t>
  </si>
  <si>
    <t>CAMECO</t>
  </si>
  <si>
    <t>BNP</t>
  </si>
  <si>
    <t>OXY</t>
  </si>
  <si>
    <t>APPLOVIN</t>
  </si>
  <si>
    <t>ALLIANZ</t>
  </si>
  <si>
    <t>Rijlabels</t>
  </si>
  <si>
    <t>(leeg)</t>
  </si>
  <si>
    <t>Eindtotaal</t>
  </si>
  <si>
    <t>Som van waarde_bezit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</si>
</sst>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no Kievit" refreshedDate="46016.650587037038" createdVersion="8" refreshedVersion="8" minRefreshableVersion="3" recordCount="144" xr:uid="{1777D2E5-D13B-4AB0-89CC-76EEFA33CC70}">
  <cacheSource type="worksheet">
    <worksheetSource ref="A1:H1048576" sheet="Sheet1"/>
  </cacheSource>
  <cacheFields count="8">
    <cacheField name="broker" numFmtId="0">
      <sharedItems containsBlank="1"/>
    </cacheField>
    <cacheField name="asset_rollup" numFmtId="0">
      <sharedItems containsBlank="1"/>
    </cacheField>
    <cacheField name="regio" numFmtId="0">
      <sharedItems containsBlank="1"/>
    </cacheField>
    <cacheField name="sector" numFmtId="0">
      <sharedItems containsBlank="1" count="15">
        <s v="Industrials"/>
        <s v="Buss Tech Services"/>
        <s v="Inf Tech"/>
        <s v="Energy"/>
        <s v="Index"/>
        <s v="Cons Staples"/>
        <s v="Cons Discr"/>
        <s v="Real Estate"/>
        <s v="CORRECTIE-BENCHMARK"/>
        <s v="Insurance"/>
        <s v="Medical"/>
        <s v="Financials"/>
        <s v="Basic Materials"/>
        <s v="Communication Serv"/>
        <m/>
      </sharedItems>
    </cacheField>
    <cacheField name="value_grow" numFmtId="0">
      <sharedItems containsBlank="1"/>
    </cacheField>
    <cacheField name="koers" numFmtId="0">
      <sharedItems containsString="0" containsBlank="1" containsNumber="1" minValue="0" maxValue="4218.9998999999998"/>
    </cacheField>
    <cacheField name="aantal_bezit" numFmtId="0">
      <sharedItems containsString="0" containsBlank="1" containsNumber="1" containsInteger="1" minValue="-60" maxValue="2800"/>
    </cacheField>
    <cacheField name="waarde_bezit" numFmtId="0">
      <sharedItems containsString="0" containsBlank="1" containsNumber="1" minValue="-2218.8000000000002" maxValue="51604" count="49">
        <n v="0"/>
        <n v="18532.2"/>
        <n v="4658"/>
        <n v="93.81"/>
        <n v="8097"/>
        <n v="12024"/>
        <n v="13656"/>
        <n v="18175"/>
        <n v="131.16"/>
        <n v="15636.12"/>
        <n v="114.84"/>
        <n v="18812"/>
        <n v="41377.300000000003"/>
        <n v="5609.54"/>
        <n v="1913"/>
        <n v="17727.5"/>
        <n v="292.82"/>
        <n v="3993"/>
        <n v="11736.8"/>
        <n v="15499"/>
        <n v="13981.4"/>
        <n v="8906"/>
        <n v="11976"/>
        <n v="591.4"/>
        <n v="5734"/>
        <n v="1450.9"/>
        <n v="51604"/>
        <n v="11186"/>
        <n v="13974"/>
        <n v="205.78"/>
        <n v="7993.0000000000009"/>
        <n v="185.72"/>
        <n v="208.68"/>
        <n v="33558"/>
        <n v="10636.5"/>
        <n v="327.9"/>
        <n v="16194"/>
        <n v="527.20000000000005"/>
        <n v="6510"/>
        <n v="118.56"/>
        <n v="-2218.8000000000002"/>
        <n v="14318"/>
        <n v="229.56"/>
        <n v="424.9"/>
        <n v="9341"/>
        <n v="4689.3"/>
        <n v="10538.34"/>
        <n v="1447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interactive"/>
    <s v="FDX"/>
    <s v="US"/>
    <x v="0"/>
    <s v="waarde"/>
    <n v="295.20999999999998"/>
    <n v="0"/>
    <x v="0"/>
  </r>
  <r>
    <s v="interactive"/>
    <s v="GOOG"/>
    <s v="US"/>
    <x v="1"/>
    <s v="mixed"/>
    <n v="315.68"/>
    <n v="0"/>
    <x v="0"/>
  </r>
  <r>
    <s v="onbekend"/>
    <s v="APPLE"/>
    <s v="US"/>
    <x v="2"/>
    <s v="mixed"/>
    <n v="272.36"/>
    <n v="0"/>
    <x v="0"/>
  </r>
  <r>
    <s v="lynx"/>
    <s v="ENB"/>
    <s v="US"/>
    <x v="3"/>
    <s v="waarde"/>
    <n v="47.47"/>
    <n v="0"/>
    <x v="0"/>
  </r>
  <r>
    <s v="lynx"/>
    <s v="PNL"/>
    <s v="NL"/>
    <x v="0"/>
    <s v="waarde"/>
    <n v="1.0409999999999999"/>
    <n v="0"/>
    <x v="0"/>
  </r>
  <r>
    <s v="degiro"/>
    <s v="ORDINA"/>
    <s v="NL"/>
    <x v="2"/>
    <s v="waarde"/>
    <n v="0"/>
    <n v="0"/>
    <x v="0"/>
  </r>
  <r>
    <s v="onbekend"/>
    <s v="XSP"/>
    <s v="US"/>
    <x v="4"/>
    <s v="waarde"/>
    <n v="684"/>
    <n v="0"/>
    <x v="0"/>
  </r>
  <r>
    <s v="lynx"/>
    <s v="AHOLD"/>
    <s v="NL"/>
    <x v="5"/>
    <s v="waarde"/>
    <n v="34.520000000000003"/>
    <n v="0"/>
    <x v="0"/>
  </r>
  <r>
    <s v="lynx"/>
    <s v="VOLKSWAGEN"/>
    <s v="DE"/>
    <x v="6"/>
    <s v="waarde"/>
    <n v="105"/>
    <n v="0"/>
    <x v="0"/>
  </r>
  <r>
    <s v="degiro"/>
    <s v="URW"/>
    <s v="NL"/>
    <x v="7"/>
    <s v="waarde"/>
    <n v="92.2"/>
    <n v="201"/>
    <x v="1"/>
  </r>
  <r>
    <s v="degiro"/>
    <s v="UMG"/>
    <s v="NL"/>
    <x v="6"/>
    <s v="waarde"/>
    <n v="21.9"/>
    <n v="0"/>
    <x v="0"/>
  </r>
  <r>
    <s v="interactive"/>
    <s v="DHL"/>
    <s v="DE"/>
    <x v="0"/>
    <s v="waarde"/>
    <n v="46.58"/>
    <n v="100"/>
    <x v="2"/>
  </r>
  <r>
    <s v="lynx"/>
    <s v="SIGNIFY"/>
    <s v="NL"/>
    <x v="6"/>
    <s v="waarde"/>
    <n v="20.62"/>
    <n v="0"/>
    <x v="0"/>
  </r>
  <r>
    <s v="onbekend"/>
    <s v="WKL"/>
    <s v="NL"/>
    <x v="5"/>
    <s v="waarde"/>
    <n v="88.24"/>
    <n v="0"/>
    <x v="0"/>
  </r>
  <r>
    <s v="degiro"/>
    <s v="CORRECTIE-BENCHMARK"/>
    <s v="CORRECTIE-BENCHMARK"/>
    <x v="8"/>
    <s v="CORRECTIE-BENCHMARK"/>
    <n v="0"/>
    <n v="0"/>
    <x v="0"/>
  </r>
  <r>
    <s v="lynx"/>
    <s v="MICRON"/>
    <s v="US"/>
    <x v="2"/>
    <s v="mixed"/>
    <n v="276.27"/>
    <n v="0"/>
    <x v="0"/>
  </r>
  <r>
    <s v="degiro"/>
    <s v="RAND"/>
    <s v="NL"/>
    <x v="5"/>
    <s v="waarde"/>
    <n v="31.27"/>
    <n v="3"/>
    <x v="3"/>
  </r>
  <r>
    <s v="lynx"/>
    <s v="UBER"/>
    <s v="US"/>
    <x v="1"/>
    <s v="groei"/>
    <n v="80.97"/>
    <n v="100"/>
    <x v="4"/>
  </r>
  <r>
    <s v="degiro"/>
    <s v="AGN"/>
    <s v="NL"/>
    <x v="9"/>
    <s v="waarde"/>
    <n v="6.5679999999999996"/>
    <n v="0"/>
    <x v="0"/>
  </r>
  <r>
    <s v="lynx"/>
    <s v="EPD"/>
    <s v="US"/>
    <x v="3"/>
    <s v="waarde"/>
    <n v="32.119999999999997"/>
    <n v="0"/>
    <x v="0"/>
  </r>
  <r>
    <s v="interactive"/>
    <s v="MDT"/>
    <s v="US"/>
    <x v="10"/>
    <s v="waarde"/>
    <n v="97.47"/>
    <n v="0"/>
    <x v="0"/>
  </r>
  <r>
    <s v="lynx"/>
    <s v="ING"/>
    <s v="NL"/>
    <x v="11"/>
    <s v="waarde"/>
    <n v="23.925000000000001"/>
    <n v="0"/>
    <x v="0"/>
  </r>
  <r>
    <s v="interactive"/>
    <s v="ROBINHOOD"/>
    <s v="US"/>
    <x v="1"/>
    <s v="groei"/>
    <n v="120.24"/>
    <n v="100"/>
    <x v="5"/>
  </r>
  <r>
    <s v="lynx"/>
    <s v="HEINEKEN"/>
    <s v="NL"/>
    <x v="5"/>
    <s v="waarde"/>
    <n v="68.28"/>
    <n v="200"/>
    <x v="6"/>
  </r>
  <r>
    <s v="interactive"/>
    <s v="INTEL"/>
    <s v="US"/>
    <x v="2"/>
    <s v="mixed"/>
    <n v="36.35"/>
    <n v="500"/>
    <x v="7"/>
  </r>
  <r>
    <s v="interactive"/>
    <s v="ING"/>
    <s v="NL"/>
    <x v="11"/>
    <s v="waarde"/>
    <n v="23.925000000000001"/>
    <n v="0"/>
    <x v="0"/>
  </r>
  <r>
    <s v="interactive"/>
    <s v="WALMART"/>
    <s v="US"/>
    <x v="5"/>
    <s v="waarde"/>
    <n v="110.9"/>
    <n v="0"/>
    <x v="0"/>
  </r>
  <r>
    <s v="degiro"/>
    <s v="NN"/>
    <s v="NL"/>
    <x v="9"/>
    <s v="waarde"/>
    <n v="65.58"/>
    <n v="2"/>
    <x v="8"/>
  </r>
  <r>
    <s v="onbekend"/>
    <s v="NDX"/>
    <s v="US"/>
    <x v="4"/>
    <s v="waarde"/>
    <n v="0"/>
    <n v="0"/>
    <x v="0"/>
  </r>
  <r>
    <s v="degiro"/>
    <s v="HEINEKEN"/>
    <s v="NL"/>
    <x v="5"/>
    <s v="waarde"/>
    <n v="68.28"/>
    <n v="229"/>
    <x v="9"/>
  </r>
  <r>
    <s v="onbekend"/>
    <s v="MMM"/>
    <s v="US"/>
    <x v="0"/>
    <s v="waarde"/>
    <n v="160.15"/>
    <n v="0"/>
    <x v="0"/>
  </r>
  <r>
    <s v="onbekend"/>
    <s v="RIO"/>
    <s v="US"/>
    <x v="12"/>
    <s v="waarde"/>
    <n v="80.97"/>
    <n v="0"/>
    <x v="0"/>
  </r>
  <r>
    <s v="lynx"/>
    <s v="CL"/>
    <s v="US"/>
    <x v="5"/>
    <s v="waarde"/>
    <n v="79.930000000000007"/>
    <n v="0"/>
    <x v="0"/>
  </r>
  <r>
    <s v="onbekend"/>
    <s v="UPS"/>
    <s v="US"/>
    <x v="0"/>
    <s v="waarde"/>
    <n v="100.19"/>
    <n v="0"/>
    <x v="0"/>
  </r>
  <r>
    <s v="interactive"/>
    <s v="SNOW"/>
    <s v="US"/>
    <x v="1"/>
    <s v="groei"/>
    <n v="225.1"/>
    <n v="0"/>
    <x v="0"/>
  </r>
  <r>
    <s v="onbekend"/>
    <s v="BATS"/>
    <s v="UK"/>
    <x v="5"/>
    <s v="waarde"/>
    <n v="4218.9998999999998"/>
    <n v="0"/>
    <x v="0"/>
  </r>
  <r>
    <s v="degiro"/>
    <s v="WHA"/>
    <s v="NL"/>
    <x v="7"/>
    <s v="waarde"/>
    <n v="19.14"/>
    <n v="6"/>
    <x v="10"/>
  </r>
  <r>
    <s v="interactive"/>
    <s v="WDS"/>
    <s v="US"/>
    <x v="12"/>
    <s v="waarde"/>
    <n v="15.48"/>
    <n v="0"/>
    <x v="0"/>
  </r>
  <r>
    <s v="interactive"/>
    <s v="PANW"/>
    <s v="US"/>
    <x v="1"/>
    <s v="groei"/>
    <n v="188.12"/>
    <n v="100"/>
    <x v="11"/>
  </r>
  <r>
    <s v="lynx"/>
    <s v="VALE"/>
    <s v="US"/>
    <x v="12"/>
    <s v="waarde"/>
    <n v="13.21"/>
    <n v="0"/>
    <x v="0"/>
  </r>
  <r>
    <s v="degiro"/>
    <s v="UNILEVER"/>
    <s v="NL"/>
    <x v="5"/>
    <s v="waarde"/>
    <n v="55.54"/>
    <n v="745"/>
    <x v="12"/>
  </r>
  <r>
    <s v="lynx"/>
    <s v="NIKE"/>
    <s v="US"/>
    <x v="6"/>
    <s v="waarde"/>
    <n v="57.34"/>
    <n v="0"/>
    <x v="0"/>
  </r>
  <r>
    <s v="onbekend"/>
    <s v="BTI"/>
    <s v="UK"/>
    <x v="5"/>
    <s v="waarde"/>
    <n v="57.04"/>
    <n v="0"/>
    <x v="0"/>
  </r>
  <r>
    <s v="interactive"/>
    <s v="NVIDIA"/>
    <s v="US"/>
    <x v="2"/>
    <s v="mixed"/>
    <n v="189.21"/>
    <n v="0"/>
    <x v="0"/>
  </r>
  <r>
    <s v="lynx"/>
    <s v="UNILEVER"/>
    <s v="NL"/>
    <x v="5"/>
    <s v="waarde"/>
    <n v="55.54"/>
    <n v="101"/>
    <x v="13"/>
  </r>
  <r>
    <s v="degiro"/>
    <s v="MT"/>
    <s v="NL"/>
    <x v="12"/>
    <s v="waarde"/>
    <n v="38.26"/>
    <n v="50"/>
    <x v="14"/>
  </r>
  <r>
    <s v="degiro"/>
    <s v="BAYER"/>
    <s v="DE"/>
    <x v="10"/>
    <s v="waarde"/>
    <n v="35.454999999999998"/>
    <n v="500"/>
    <x v="15"/>
  </r>
  <r>
    <s v="lynx"/>
    <s v="MAGNUM"/>
    <s v="NL"/>
    <x v="5"/>
    <s v="waarde"/>
    <n v="13.31"/>
    <n v="22"/>
    <x v="16"/>
  </r>
  <r>
    <s v="lynx"/>
    <s v="UMG"/>
    <s v="NL"/>
    <x v="6"/>
    <s v="waarde"/>
    <n v="21.9"/>
    <n v="0"/>
    <x v="0"/>
  </r>
  <r>
    <s v="degiro"/>
    <s v="MAGNUM"/>
    <s v="NL"/>
    <x v="5"/>
    <s v="waarde"/>
    <n v="13.31"/>
    <n v="300"/>
    <x v="17"/>
  </r>
  <r>
    <s v="lynx"/>
    <s v="DHL"/>
    <s v="DE"/>
    <x v="0"/>
    <s v="waarde"/>
    <n v="46.58"/>
    <n v="0"/>
    <x v="0"/>
  </r>
  <r>
    <s v="degiro"/>
    <s v="AHOLD"/>
    <s v="NL"/>
    <x v="5"/>
    <s v="waarde"/>
    <n v="34.520000000000003"/>
    <n v="340"/>
    <x v="18"/>
  </r>
  <r>
    <s v="onbekend"/>
    <s v="ORACLE"/>
    <s v="US"/>
    <x v="1"/>
    <s v="groei"/>
    <n v="195.34"/>
    <n v="0"/>
    <x v="0"/>
  </r>
  <r>
    <s v="interactive"/>
    <s v="XLV"/>
    <s v="US"/>
    <x v="10"/>
    <s v="waarde"/>
    <n v="154.99"/>
    <n v="100"/>
    <x v="19"/>
  </r>
  <r>
    <s v="degiro"/>
    <s v="DANONE"/>
    <s v="FR"/>
    <x v="5"/>
    <s v="waarde"/>
    <n v="76.48"/>
    <n v="0"/>
    <x v="0"/>
  </r>
  <r>
    <s v="degiro"/>
    <s v="BESI"/>
    <s v="NL"/>
    <x v="2"/>
    <s v="mixed"/>
    <n v="131.9"/>
    <n v="106"/>
    <x v="20"/>
  </r>
  <r>
    <s v="lynx"/>
    <s v="OKTA"/>
    <s v="US"/>
    <x v="1"/>
    <s v="groei"/>
    <n v="89.06"/>
    <n v="100"/>
    <x v="21"/>
  </r>
  <r>
    <s v="onbekend"/>
    <s v="SERVICENOW"/>
    <s v="US"/>
    <x v="1"/>
    <s v="groei"/>
    <n v="154.36000000000001"/>
    <n v="0"/>
    <x v="0"/>
  </r>
  <r>
    <s v="interactive"/>
    <s v="VZ"/>
    <s v="US"/>
    <x v="13"/>
    <s v="waarde"/>
    <n v="39.92"/>
    <n v="300"/>
    <x v="22"/>
  </r>
  <r>
    <s v="lynx"/>
    <s v="AGN"/>
    <s v="NL"/>
    <x v="9"/>
    <s v="waarde"/>
    <n v="6.5679999999999996"/>
    <n v="0"/>
    <x v="0"/>
  </r>
  <r>
    <s v="onbekend"/>
    <s v="BP"/>
    <s v="UK"/>
    <x v="3"/>
    <s v="waarde"/>
    <n v="34.58"/>
    <n v="0"/>
    <x v="0"/>
  </r>
  <r>
    <s v="interactive"/>
    <s v="UNILEVER"/>
    <s v="NL"/>
    <x v="5"/>
    <s v="waarde"/>
    <n v="55.54"/>
    <n v="0"/>
    <x v="0"/>
  </r>
  <r>
    <s v="degiro"/>
    <s v="ABN"/>
    <s v="NL"/>
    <x v="11"/>
    <s v="waarde"/>
    <n v="29.57"/>
    <n v="20"/>
    <x v="23"/>
  </r>
  <r>
    <s v="degiro"/>
    <s v="DHL"/>
    <s v="DE"/>
    <x v="0"/>
    <s v="waarde"/>
    <n v="46.58"/>
    <n v="0"/>
    <x v="0"/>
  </r>
  <r>
    <s v="lynx"/>
    <s v="ROBINHOOD"/>
    <s v="US"/>
    <x v="1"/>
    <s v="groei"/>
    <n v="120.24"/>
    <n v="0"/>
    <x v="0"/>
  </r>
  <r>
    <s v="onbekend"/>
    <s v="UNH"/>
    <s v="US"/>
    <x v="10"/>
    <s v="waarde"/>
    <n v="324.8"/>
    <n v="0"/>
    <x v="0"/>
  </r>
  <r>
    <s v="interactive"/>
    <s v="NIKE"/>
    <s v="US"/>
    <x v="6"/>
    <s v="waarde"/>
    <n v="57.34"/>
    <n v="100"/>
    <x v="24"/>
  </r>
  <r>
    <s v="degiro"/>
    <s v="TKWY"/>
    <s v="NL"/>
    <x v="1"/>
    <s v="groei"/>
    <n v="20.3"/>
    <n v="0"/>
    <x v="0"/>
  </r>
  <r>
    <s v="lynx"/>
    <s v="BABA"/>
    <s v="US"/>
    <x v="1"/>
    <s v="groei"/>
    <n v="151.22999999999999"/>
    <n v="0"/>
    <x v="0"/>
  </r>
  <r>
    <s v="lynx"/>
    <s v="AMD"/>
    <s v="US"/>
    <x v="2"/>
    <s v="mixed"/>
    <n v="214.9"/>
    <n v="0"/>
    <x v="0"/>
  </r>
  <r>
    <s v="onbekend"/>
    <s v="VOPAK"/>
    <s v="NL"/>
    <x v="3"/>
    <s v="waarde"/>
    <n v="37.42"/>
    <n v="0"/>
    <x v="0"/>
  </r>
  <r>
    <s v="lynx"/>
    <s v="BESI"/>
    <s v="NL"/>
    <x v="2"/>
    <s v="mixed"/>
    <n v="131.9"/>
    <n v="11"/>
    <x v="25"/>
  </r>
  <r>
    <s v="interactive"/>
    <s v="VFC"/>
    <s v="US"/>
    <x v="6"/>
    <s v="waarde"/>
    <n v="18.43"/>
    <n v="2800"/>
    <x v="26"/>
  </r>
  <r>
    <s v="interactive"/>
    <s v="CORRECTIE-BENCHMARK"/>
    <s v="CORRECTIE-BENCHMARK"/>
    <x v="8"/>
    <s v="CORRECTIE-BENCHMARK"/>
    <n v="0"/>
    <n v="0"/>
    <x v="0"/>
  </r>
  <r>
    <s v="interactive"/>
    <s v="DANONE"/>
    <s v="FR"/>
    <x v="5"/>
    <s v="waarde"/>
    <n v="76.48"/>
    <n v="0"/>
    <x v="0"/>
  </r>
  <r>
    <s v="interactive"/>
    <s v="O"/>
    <s v="US"/>
    <x v="7"/>
    <s v="waarde"/>
    <n v="55.93"/>
    <n v="200"/>
    <x v="27"/>
  </r>
  <r>
    <s v="onbekend"/>
    <s v="AEX"/>
    <s v="NL"/>
    <x v="4"/>
    <s v="waarde"/>
    <n v="951"/>
    <n v="0"/>
    <x v="0"/>
  </r>
  <r>
    <s v="interactive"/>
    <s v="MICRON"/>
    <s v="US"/>
    <x v="2"/>
    <s v="mixed"/>
    <n v="276.27"/>
    <n v="0"/>
    <x v="0"/>
  </r>
  <r>
    <s v="interactive"/>
    <s v="ANET"/>
    <s v="US"/>
    <x v="2"/>
    <s v="groei"/>
    <n v="131.32"/>
    <n v="0"/>
    <x v="0"/>
  </r>
  <r>
    <s v="lynx"/>
    <s v="PLAN"/>
    <s v="US"/>
    <x v="1"/>
    <s v="groei"/>
    <n v="0"/>
    <n v="0"/>
    <x v="0"/>
  </r>
  <r>
    <s v="onbekend"/>
    <s v="ISRG"/>
    <s v="US"/>
    <x v="10"/>
    <s v="groei"/>
    <n v="577.34"/>
    <n v="0"/>
    <x v="0"/>
  </r>
  <r>
    <s v="interactive"/>
    <s v="KO"/>
    <s v="US"/>
    <x v="5"/>
    <s v="waarde"/>
    <n v="69.87"/>
    <n v="200"/>
    <x v="28"/>
  </r>
  <r>
    <s v="interactive"/>
    <s v="JNJ"/>
    <s v="US"/>
    <x v="5"/>
    <s v="waarde"/>
    <n v="205.78"/>
    <n v="1"/>
    <x v="29"/>
  </r>
  <r>
    <s v="lynx"/>
    <s v="BHP"/>
    <s v="US"/>
    <x v="12"/>
    <s v="waarde"/>
    <n v="61.08"/>
    <n v="0"/>
    <x v="0"/>
  </r>
  <r>
    <s v="interactive"/>
    <s v="NEBIUS"/>
    <s v="US"/>
    <x v="1"/>
    <s v="groei"/>
    <n v="90.03"/>
    <n v="0"/>
    <x v="0"/>
  </r>
  <r>
    <s v="onbekend"/>
    <s v="ATT"/>
    <s v="US"/>
    <x v="13"/>
    <s v="waarde"/>
    <n v="24.46"/>
    <n v="0"/>
    <x v="0"/>
  </r>
  <r>
    <s v="interactive"/>
    <s v="CL"/>
    <s v="US"/>
    <x v="5"/>
    <s v="waarde"/>
    <n v="79.930000000000007"/>
    <n v="100"/>
    <x v="30"/>
  </r>
  <r>
    <s v="onbekend"/>
    <s v="META"/>
    <s v="US"/>
    <x v="1"/>
    <s v="mixed"/>
    <n v="664.94"/>
    <n v="0"/>
    <x v="0"/>
  </r>
  <r>
    <s v="degiro"/>
    <s v="BMW"/>
    <s v="DE"/>
    <x v="6"/>
    <s v="waarde"/>
    <n v="92.86"/>
    <n v="2"/>
    <x v="31"/>
  </r>
  <r>
    <s v="degiro"/>
    <s v="PNL"/>
    <s v="NL"/>
    <x v="0"/>
    <s v="waarde"/>
    <n v="1.0409999999999999"/>
    <n v="0"/>
    <x v="0"/>
  </r>
  <r>
    <s v="lynx"/>
    <s v="URW"/>
    <s v="NL"/>
    <x v="7"/>
    <s v="waarde"/>
    <n v="92.2"/>
    <n v="0"/>
    <x v="0"/>
  </r>
  <r>
    <s v="interactive"/>
    <s v="BESI"/>
    <s v="NL"/>
    <x v="2"/>
    <s v="mixed"/>
    <n v="131.9"/>
    <n v="0"/>
    <x v="0"/>
  </r>
  <r>
    <s v="degiro"/>
    <s v="RELX"/>
    <s v="NL"/>
    <x v="5"/>
    <s v="waarde"/>
    <n v="34.78"/>
    <n v="6"/>
    <x v="32"/>
  </r>
  <r>
    <s v="lynx"/>
    <s v="O"/>
    <s v="US"/>
    <x v="7"/>
    <s v="waarde"/>
    <n v="55.93"/>
    <n v="600"/>
    <x v="33"/>
  </r>
  <r>
    <s v="lynx"/>
    <s v="CORRECTIE-BENCHMARK"/>
    <s v="CORRECTIE-BENCHMARK"/>
    <x v="8"/>
    <s v="CORRECTIE-BENCHMARK"/>
    <n v="0"/>
    <n v="0"/>
    <x v="0"/>
  </r>
  <r>
    <s v="lynx"/>
    <s v="PLTR"/>
    <s v="US"/>
    <x v="1"/>
    <s v="groei"/>
    <n v="194.13"/>
    <n v="0"/>
    <x v="0"/>
  </r>
  <r>
    <s v="degiro"/>
    <s v="PHIA"/>
    <s v="NL"/>
    <x v="10"/>
    <s v="waarde"/>
    <n v="22.79"/>
    <n v="0"/>
    <x v="0"/>
  </r>
  <r>
    <s v="interactive"/>
    <s v="BABA"/>
    <s v="US"/>
    <x v="1"/>
    <s v="groei"/>
    <n v="151.22999999999999"/>
    <n v="0"/>
    <x v="0"/>
  </r>
  <r>
    <s v="interactive"/>
    <s v="AMD"/>
    <s v="US"/>
    <x v="2"/>
    <s v="mixed"/>
    <n v="214.9"/>
    <n v="0"/>
    <x v="0"/>
  </r>
  <r>
    <s v="lynx"/>
    <s v="BAYER"/>
    <s v="DE"/>
    <x v="10"/>
    <s v="waarde"/>
    <n v="35.454999999999998"/>
    <n v="300"/>
    <x v="34"/>
  </r>
  <r>
    <s v="lynx"/>
    <s v="NN"/>
    <s v="NL"/>
    <x v="9"/>
    <s v="waarde"/>
    <n v="65.58"/>
    <n v="5"/>
    <x v="35"/>
  </r>
  <r>
    <s v="interactive"/>
    <s v="UBER"/>
    <s v="US"/>
    <x v="1"/>
    <s v="groei"/>
    <n v="80.97"/>
    <n v="200"/>
    <x v="36"/>
  </r>
  <r>
    <s v="lynx"/>
    <s v="ECMPA"/>
    <s v="NL"/>
    <x v="7"/>
    <s v="waarde"/>
    <n v="26.05"/>
    <n v="0"/>
    <x v="0"/>
  </r>
  <r>
    <s v="lynx"/>
    <s v="TKWY"/>
    <s v="NL"/>
    <x v="1"/>
    <s v="groei"/>
    <n v="20.3"/>
    <n v="0"/>
    <x v="0"/>
  </r>
  <r>
    <s v="interactive"/>
    <s v="BHP"/>
    <s v="US"/>
    <x v="12"/>
    <s v="waarde"/>
    <n v="61.08"/>
    <n v="0"/>
    <x v="0"/>
  </r>
  <r>
    <s v="lynx"/>
    <s v="SNOW"/>
    <s v="US"/>
    <x v="1"/>
    <s v="groei"/>
    <n v="225.1"/>
    <n v="0"/>
    <x v="0"/>
  </r>
  <r>
    <s v="lynx"/>
    <s v="KO"/>
    <s v="US"/>
    <x v="5"/>
    <s v="waarde"/>
    <n v="69.87"/>
    <n v="0"/>
    <x v="0"/>
  </r>
  <r>
    <s v="degiro"/>
    <s v="PROSUS"/>
    <s v="NL"/>
    <x v="1"/>
    <s v="groei"/>
    <n v="52.72"/>
    <n v="10"/>
    <x v="37"/>
  </r>
  <r>
    <s v="lynx"/>
    <s v="RDSA"/>
    <s v="NL"/>
    <x v="3"/>
    <s v="waarde"/>
    <n v="31"/>
    <n v="210"/>
    <x v="38"/>
  </r>
  <r>
    <s v="lynx"/>
    <s v="WHA"/>
    <s v="NL"/>
    <x v="7"/>
    <s v="waarde"/>
    <n v="19.14"/>
    <n v="0"/>
    <x v="0"/>
  </r>
  <r>
    <s v="degiro"/>
    <s v="KPN"/>
    <s v="NL"/>
    <x v="13"/>
    <s v="waarde"/>
    <n v="3.952"/>
    <n v="30"/>
    <x v="39"/>
  </r>
  <r>
    <s v="interactive"/>
    <s v="BASF"/>
    <s v="DE"/>
    <x v="12"/>
    <s v="waarde"/>
    <n v="43.73"/>
    <n v="0"/>
    <x v="0"/>
  </r>
  <r>
    <s v="onbekend"/>
    <s v="XND"/>
    <s v="US"/>
    <x v="4"/>
    <s v="waarde"/>
    <n v="255"/>
    <n v="0"/>
    <x v="0"/>
  </r>
  <r>
    <s v="interactive"/>
    <s v="OKTA"/>
    <s v="US"/>
    <x v="1"/>
    <s v="groei"/>
    <n v="89.06"/>
    <n v="100"/>
    <x v="21"/>
  </r>
  <r>
    <s v="interactive"/>
    <s v="MRK"/>
    <s v="US"/>
    <x v="10"/>
    <s v="waarde"/>
    <n v="105.04"/>
    <n v="0"/>
    <x v="0"/>
  </r>
  <r>
    <s v="onbekend"/>
    <s v="ASMI"/>
    <s v="NL"/>
    <x v="2"/>
    <s v="mixed"/>
    <n v="515.4"/>
    <n v="0"/>
    <x v="0"/>
  </r>
  <r>
    <s v="lynx"/>
    <s v="MRK"/>
    <s v="US"/>
    <x v="10"/>
    <s v="waarde"/>
    <n v="105.04"/>
    <n v="0"/>
    <x v="0"/>
  </r>
  <r>
    <s v="lynx"/>
    <s v="PHIA"/>
    <s v="NL"/>
    <x v="10"/>
    <s v="waarde"/>
    <n v="22.79"/>
    <n v="0"/>
    <x v="0"/>
  </r>
  <r>
    <s v="onbekend"/>
    <s v="TBT"/>
    <s v="US"/>
    <x v="11"/>
    <s v="waarde"/>
    <n v="34.44"/>
    <n v="0"/>
    <x v="0"/>
  </r>
  <r>
    <s v="lynx"/>
    <s v="AMZN"/>
    <s v="US"/>
    <x v="1"/>
    <s v="mixed"/>
    <n v="232.14"/>
    <n v="0"/>
    <x v="0"/>
  </r>
  <r>
    <s v="interactive"/>
    <s v="UVXY"/>
    <s v="US"/>
    <x v="11"/>
    <s v="groei"/>
    <n v="36.979999999999997"/>
    <n v="-60"/>
    <x v="40"/>
  </r>
  <r>
    <s v="lynx"/>
    <s v="BMW"/>
    <s v="DE"/>
    <x v="6"/>
    <s v="waarde"/>
    <n v="92.86"/>
    <n v="0"/>
    <x v="0"/>
  </r>
  <r>
    <s v="lynx"/>
    <s v="RAND"/>
    <s v="NL"/>
    <x v="5"/>
    <s v="waarde"/>
    <n v="31.27"/>
    <n v="0"/>
    <x v="0"/>
  </r>
  <r>
    <s v="interactive"/>
    <s v="PG"/>
    <s v="US"/>
    <x v="5"/>
    <s v="waarde"/>
    <n v="143.18"/>
    <n v="100"/>
    <x v="41"/>
  </r>
  <r>
    <s v="lynx"/>
    <s v="WDS"/>
    <s v="US"/>
    <x v="12"/>
    <s v="waarde"/>
    <n v="15.48"/>
    <n v="0"/>
    <x v="0"/>
  </r>
  <r>
    <s v="lynx"/>
    <s v="MT"/>
    <s v="NL"/>
    <x v="12"/>
    <s v="waarde"/>
    <n v="38.26"/>
    <n v="6"/>
    <x v="42"/>
  </r>
  <r>
    <s v="lynx"/>
    <s v="VFC"/>
    <s v="US"/>
    <x v="6"/>
    <s v="waarde"/>
    <n v="18.43"/>
    <n v="0"/>
    <x v="0"/>
  </r>
  <r>
    <s v="lynx"/>
    <s v="INFINEON"/>
    <s v="DE"/>
    <x v="2"/>
    <s v="mixed"/>
    <n v="36.67"/>
    <n v="0"/>
    <x v="0"/>
  </r>
  <r>
    <s v="onbekend"/>
    <s v="ASMLAEB"/>
    <s v="NL"/>
    <x v="2"/>
    <s v="mixed"/>
    <n v="903.2"/>
    <n v="0"/>
    <x v="0"/>
  </r>
  <r>
    <s v="degiro"/>
    <s v="ASR"/>
    <s v="NL"/>
    <x v="9"/>
    <s v="waarde"/>
    <n v="60.7"/>
    <n v="7"/>
    <x v="43"/>
  </r>
  <r>
    <s v="lynx"/>
    <s v="CAMECO"/>
    <s v="US"/>
    <x v="3"/>
    <s v="groei"/>
    <n v="93.41"/>
    <n v="100"/>
    <x v="44"/>
  </r>
  <r>
    <s v="degiro"/>
    <s v="ING"/>
    <s v="NL"/>
    <x v="11"/>
    <s v="waarde"/>
    <n v="23.925000000000001"/>
    <n v="196"/>
    <x v="45"/>
  </r>
  <r>
    <s v="lynx"/>
    <s v="RELX"/>
    <s v="NL"/>
    <x v="5"/>
    <s v="waarde"/>
    <n v="34.78"/>
    <n v="303"/>
    <x v="46"/>
  </r>
  <r>
    <s v="interactive"/>
    <s v="PLTR"/>
    <s v="US"/>
    <x v="1"/>
    <s v="groei"/>
    <n v="194.13"/>
    <n v="0"/>
    <x v="0"/>
  </r>
  <r>
    <s v="lynx"/>
    <s v="PROSUS"/>
    <s v="NL"/>
    <x v="1"/>
    <s v="groei"/>
    <n v="52.72"/>
    <n v="0"/>
    <x v="0"/>
  </r>
  <r>
    <s v="degiro"/>
    <s v="RDSA"/>
    <s v="NL"/>
    <x v="3"/>
    <s v="waarde"/>
    <n v="31"/>
    <n v="467"/>
    <x v="47"/>
  </r>
  <r>
    <s v="onbekend"/>
    <s v="BNP"/>
    <s v="FR"/>
    <x v="11"/>
    <s v="waarde"/>
    <n v="80.61"/>
    <n v="0"/>
    <x v="0"/>
  </r>
  <r>
    <s v="interactive"/>
    <s v="VALE"/>
    <s v="US"/>
    <x v="12"/>
    <s v="waarde"/>
    <n v="13.21"/>
    <n v="0"/>
    <x v="0"/>
  </r>
  <r>
    <s v="onbekend"/>
    <s v="OXY"/>
    <s v="US"/>
    <x v="3"/>
    <s v="waarde"/>
    <n v="40.1"/>
    <n v="0"/>
    <x v="0"/>
  </r>
  <r>
    <s v="lynx"/>
    <s v="VZ"/>
    <s v="US"/>
    <x v="13"/>
    <s v="waarde"/>
    <n v="39.92"/>
    <n v="0"/>
    <x v="0"/>
  </r>
  <r>
    <s v="interactive"/>
    <s v="CAMECO"/>
    <s v="US"/>
    <x v="3"/>
    <s v="groei"/>
    <n v="93.41"/>
    <n v="100"/>
    <x v="44"/>
  </r>
  <r>
    <s v="onbekend"/>
    <s v="APPLOVIN"/>
    <s v="US"/>
    <x v="1"/>
    <s v="groei"/>
    <n v="728.45"/>
    <n v="0"/>
    <x v="0"/>
  </r>
  <r>
    <s v="onbekend"/>
    <s v="ALLIANZ"/>
    <s v="DE"/>
    <x v="9"/>
    <s v="waarde"/>
    <n v="390.4"/>
    <n v="0"/>
    <x v="0"/>
  </r>
  <r>
    <m/>
    <m/>
    <m/>
    <x v="14"/>
    <m/>
    <m/>
    <m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4D7D6-2C62-4B50-83C1-D4B3491C4D74}" name="Draaitabel2" cacheId="1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B17" firstHeaderRow="1" firstDataRow="1" firstDataCol="1"/>
  <pivotFields count="8">
    <pivotField showAll="0"/>
    <pivotField showAll="0"/>
    <pivotField showAll="0"/>
    <pivotField axis="axisRow" showAll="0" sortType="descending">
      <items count="16">
        <item x="12"/>
        <item x="1"/>
        <item x="13"/>
        <item x="6"/>
        <item x="5"/>
        <item h="1" x="8"/>
        <item x="3"/>
        <item x="11"/>
        <item h="1" x="4"/>
        <item x="0"/>
        <item x="2"/>
        <item x="9"/>
        <item x="10"/>
        <item x="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50">
        <item x="40"/>
        <item x="0"/>
        <item x="3"/>
        <item x="10"/>
        <item x="39"/>
        <item x="8"/>
        <item x="31"/>
        <item x="29"/>
        <item x="32"/>
        <item x="42"/>
        <item x="16"/>
        <item x="35"/>
        <item x="43"/>
        <item x="37"/>
        <item x="23"/>
        <item x="25"/>
        <item x="14"/>
        <item x="17"/>
        <item x="2"/>
        <item x="45"/>
        <item x="13"/>
        <item x="24"/>
        <item x="38"/>
        <item x="30"/>
        <item x="4"/>
        <item x="21"/>
        <item x="44"/>
        <item x="46"/>
        <item x="34"/>
        <item x="27"/>
        <item x="18"/>
        <item x="22"/>
        <item x="5"/>
        <item x="6"/>
        <item x="28"/>
        <item x="20"/>
        <item x="41"/>
        <item x="47"/>
        <item x="19"/>
        <item x="9"/>
        <item x="36"/>
        <item x="15"/>
        <item x="7"/>
        <item x="1"/>
        <item x="11"/>
        <item x="33"/>
        <item x="12"/>
        <item x="26"/>
        <item x="48"/>
        <item t="default"/>
      </items>
    </pivotField>
  </pivotFields>
  <rowFields count="1">
    <field x="3"/>
  </rowFields>
  <rowItems count="14">
    <i>
      <x v="4"/>
    </i>
    <i>
      <x v="1"/>
    </i>
    <i>
      <x v="13"/>
    </i>
    <i>
      <x v="3"/>
    </i>
    <i>
      <x v="12"/>
    </i>
    <i>
      <x v="6"/>
    </i>
    <i>
      <x v="10"/>
    </i>
    <i>
      <x v="2"/>
    </i>
    <i>
      <x v="9"/>
    </i>
    <i>
      <x v="7"/>
    </i>
    <i>
      <x/>
    </i>
    <i>
      <x v="11"/>
    </i>
    <i>
      <x v="14"/>
    </i>
    <i t="grand">
      <x/>
    </i>
  </rowItems>
  <colItems count="1">
    <i/>
  </colItems>
  <dataFields count="1">
    <dataField name="Som van waarde_bez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816C-6158-4EA3-909C-CD8AEBC492DD}">
  <dimension ref="A3:B17"/>
  <sheetViews>
    <sheetView workbookViewId="0">
      <selection activeCell="A13" sqref="A13"/>
    </sheetView>
  </sheetViews>
  <sheetFormatPr defaultRowHeight="14.5" x14ac:dyDescent="0.35"/>
  <cols>
    <col min="1" max="1" width="18.1796875" bestFit="1" customWidth="1"/>
    <col min="2" max="2" width="19.90625" bestFit="1" customWidth="1"/>
    <col min="3" max="3" width="1.81640625" bestFit="1" customWidth="1"/>
    <col min="4" max="4" width="5.81640625" bestFit="1" customWidth="1"/>
    <col min="5" max="12" width="6.81640625" bestFit="1" customWidth="1"/>
    <col min="13" max="16" width="5.81640625" bestFit="1" customWidth="1"/>
    <col min="17" max="17" width="6.81640625" bestFit="1" customWidth="1"/>
    <col min="18" max="20" width="4.81640625" bestFit="1" customWidth="1"/>
    <col min="21" max="21" width="6.81640625" bestFit="1" customWidth="1"/>
    <col min="22" max="22" width="7.81640625" bestFit="1" customWidth="1"/>
    <col min="23" max="28" width="4.81640625" bestFit="1" customWidth="1"/>
    <col min="29" max="29" width="8.81640625" bestFit="1" customWidth="1"/>
    <col min="30" max="30" width="7.81640625" bestFit="1" customWidth="1"/>
    <col min="31" max="31" width="5.81640625" bestFit="1" customWidth="1"/>
    <col min="32" max="32" width="7.81640625" bestFit="1" customWidth="1"/>
    <col min="33" max="36" width="5.81640625" bestFit="1" customWidth="1"/>
    <col min="37" max="37" width="7.81640625" bestFit="1" customWidth="1"/>
    <col min="38" max="40" width="5.81640625" bestFit="1" customWidth="1"/>
    <col min="41" max="41" width="8.81640625" bestFit="1" customWidth="1"/>
    <col min="42" max="42" width="5.81640625" bestFit="1" customWidth="1"/>
    <col min="43" max="43" width="7.81640625" bestFit="1" customWidth="1"/>
    <col min="44" max="44" width="5.81640625" bestFit="1" customWidth="1"/>
    <col min="45" max="45" width="7.81640625" bestFit="1" customWidth="1"/>
    <col min="46" max="47" width="5.81640625" bestFit="1" customWidth="1"/>
    <col min="48" max="48" width="7.81640625" bestFit="1" customWidth="1"/>
    <col min="49" max="49" width="5.81640625" bestFit="1" customWidth="1"/>
    <col min="50" max="50" width="5.453125" bestFit="1" customWidth="1"/>
    <col min="51" max="51" width="9.453125" bestFit="1" customWidth="1"/>
  </cols>
  <sheetData>
    <row r="3" spans="1:2" x14ac:dyDescent="0.35">
      <c r="A3" s="2" t="s">
        <v>128</v>
      </c>
      <c r="B3" t="s">
        <v>131</v>
      </c>
    </row>
    <row r="4" spans="1:2" x14ac:dyDescent="0.35">
      <c r="A4" s="3" t="s">
        <v>29</v>
      </c>
      <c r="B4" s="4">
        <v>139633.19</v>
      </c>
    </row>
    <row r="5" spans="1:2" x14ac:dyDescent="0.35">
      <c r="A5" s="3" t="s">
        <v>14</v>
      </c>
      <c r="B5" s="4">
        <v>73466.2</v>
      </c>
    </row>
    <row r="6" spans="1:2" x14ac:dyDescent="0.35">
      <c r="A6" s="3" t="s">
        <v>34</v>
      </c>
      <c r="B6" s="4">
        <v>63391.040000000001</v>
      </c>
    </row>
    <row r="7" spans="1:2" x14ac:dyDescent="0.35">
      <c r="A7" s="3" t="s">
        <v>32</v>
      </c>
      <c r="B7" s="4">
        <v>57523.72</v>
      </c>
    </row>
    <row r="8" spans="1:2" x14ac:dyDescent="0.35">
      <c r="A8" s="3" t="s">
        <v>48</v>
      </c>
      <c r="B8" s="4">
        <v>43863</v>
      </c>
    </row>
    <row r="9" spans="1:2" x14ac:dyDescent="0.35">
      <c r="A9" s="3" t="s">
        <v>21</v>
      </c>
      <c r="B9" s="4">
        <v>39669</v>
      </c>
    </row>
    <row r="10" spans="1:2" x14ac:dyDescent="0.35">
      <c r="A10" s="3" t="s">
        <v>18</v>
      </c>
      <c r="B10" s="4">
        <v>33607.300000000003</v>
      </c>
    </row>
    <row r="11" spans="1:2" x14ac:dyDescent="0.35">
      <c r="A11" s="3" t="s">
        <v>84</v>
      </c>
      <c r="B11" s="4">
        <v>12094.56</v>
      </c>
    </row>
    <row r="12" spans="1:2" x14ac:dyDescent="0.35">
      <c r="A12" s="3" t="s">
        <v>11</v>
      </c>
      <c r="B12" s="4">
        <v>4658</v>
      </c>
    </row>
    <row r="13" spans="1:2" x14ac:dyDescent="0.35">
      <c r="A13" s="3" t="s">
        <v>50</v>
      </c>
      <c r="B13" s="4">
        <v>3061.9</v>
      </c>
    </row>
    <row r="14" spans="1:2" x14ac:dyDescent="0.35">
      <c r="A14" s="3" t="s">
        <v>59</v>
      </c>
      <c r="B14" s="4">
        <v>2142.56</v>
      </c>
    </row>
    <row r="15" spans="1:2" x14ac:dyDescent="0.35">
      <c r="A15" s="3" t="s">
        <v>45</v>
      </c>
      <c r="B15" s="4">
        <v>883.95999999999992</v>
      </c>
    </row>
    <row r="16" spans="1:2" x14ac:dyDescent="0.35">
      <c r="A16" s="3" t="s">
        <v>129</v>
      </c>
      <c r="B16" s="4"/>
    </row>
    <row r="17" spans="1:2" x14ac:dyDescent="0.35">
      <c r="A17" s="3" t="s">
        <v>130</v>
      </c>
      <c r="B17" s="4">
        <v>473994.43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workbookViewId="0">
      <selection activeCell="H73" activeCellId="1" sqref="H57 H73"/>
    </sheetView>
  </sheetViews>
  <sheetFormatPr defaultRowHeight="14.5" x14ac:dyDescent="0.35"/>
  <cols>
    <col min="1" max="1" width="9.54296875" bestFit="1" customWidth="1"/>
    <col min="2" max="5" width="21.7265625" bestFit="1" customWidth="1"/>
    <col min="6" max="6" width="9.81640625" bestFit="1" customWidth="1"/>
    <col min="7" max="7" width="11.1796875" bestFit="1" customWidth="1"/>
    <col min="8" max="8" width="12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295.20999999999998</v>
      </c>
      <c r="G2">
        <v>0</v>
      </c>
      <c r="H2">
        <v>0</v>
      </c>
    </row>
    <row r="3" spans="1:8" x14ac:dyDescent="0.35">
      <c r="A3" t="s">
        <v>8</v>
      </c>
      <c r="B3" t="s">
        <v>13</v>
      </c>
      <c r="C3" t="s">
        <v>10</v>
      </c>
      <c r="D3" t="s">
        <v>14</v>
      </c>
      <c r="E3" t="s">
        <v>15</v>
      </c>
      <c r="F3">
        <v>315.68</v>
      </c>
      <c r="G3">
        <v>0</v>
      </c>
      <c r="H3">
        <v>0</v>
      </c>
    </row>
    <row r="4" spans="1:8" x14ac:dyDescent="0.35">
      <c r="A4" t="s">
        <v>16</v>
      </c>
      <c r="B4" t="s">
        <v>17</v>
      </c>
      <c r="C4" t="s">
        <v>10</v>
      </c>
      <c r="D4" t="s">
        <v>18</v>
      </c>
      <c r="E4" t="s">
        <v>15</v>
      </c>
      <c r="F4">
        <v>272.36</v>
      </c>
      <c r="G4">
        <v>0</v>
      </c>
      <c r="H4">
        <v>0</v>
      </c>
    </row>
    <row r="5" spans="1:8" x14ac:dyDescent="0.3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47.47</v>
      </c>
      <c r="G5">
        <v>0</v>
      </c>
      <c r="H5">
        <v>0</v>
      </c>
    </row>
    <row r="6" spans="1:8" x14ac:dyDescent="0.35">
      <c r="A6" t="s">
        <v>19</v>
      </c>
      <c r="B6" t="s">
        <v>22</v>
      </c>
      <c r="C6" t="s">
        <v>23</v>
      </c>
      <c r="D6" t="s">
        <v>11</v>
      </c>
      <c r="E6" t="s">
        <v>12</v>
      </c>
      <c r="F6">
        <v>1.0409999999999999</v>
      </c>
      <c r="G6">
        <v>0</v>
      </c>
      <c r="H6">
        <v>0</v>
      </c>
    </row>
    <row r="7" spans="1:8" x14ac:dyDescent="0.35">
      <c r="A7" t="s">
        <v>24</v>
      </c>
      <c r="B7" t="s">
        <v>25</v>
      </c>
      <c r="C7" t="s">
        <v>23</v>
      </c>
      <c r="D7" t="s">
        <v>18</v>
      </c>
      <c r="E7" t="s">
        <v>12</v>
      </c>
      <c r="F7">
        <v>0</v>
      </c>
      <c r="G7">
        <v>0</v>
      </c>
      <c r="H7">
        <v>0</v>
      </c>
    </row>
    <row r="8" spans="1:8" x14ac:dyDescent="0.35">
      <c r="A8" t="s">
        <v>16</v>
      </c>
      <c r="B8" t="s">
        <v>26</v>
      </c>
      <c r="C8" t="s">
        <v>10</v>
      </c>
      <c r="D8" t="s">
        <v>27</v>
      </c>
      <c r="E8" t="s">
        <v>12</v>
      </c>
      <c r="F8">
        <v>684</v>
      </c>
      <c r="G8">
        <v>0</v>
      </c>
      <c r="H8">
        <v>0</v>
      </c>
    </row>
    <row r="9" spans="1:8" x14ac:dyDescent="0.35">
      <c r="A9" t="s">
        <v>19</v>
      </c>
      <c r="B9" t="s">
        <v>28</v>
      </c>
      <c r="C9" t="s">
        <v>23</v>
      </c>
      <c r="D9" t="s">
        <v>29</v>
      </c>
      <c r="E9" t="s">
        <v>12</v>
      </c>
      <c r="F9">
        <v>34.520000000000003</v>
      </c>
      <c r="G9">
        <v>0</v>
      </c>
      <c r="H9">
        <v>0</v>
      </c>
    </row>
    <row r="10" spans="1:8" x14ac:dyDescent="0.35">
      <c r="A10" t="s">
        <v>19</v>
      </c>
      <c r="B10" t="s">
        <v>30</v>
      </c>
      <c r="C10" t="s">
        <v>31</v>
      </c>
      <c r="D10" t="s">
        <v>32</v>
      </c>
      <c r="E10" t="s">
        <v>12</v>
      </c>
      <c r="F10">
        <v>105</v>
      </c>
      <c r="G10">
        <v>0</v>
      </c>
      <c r="H10">
        <v>0</v>
      </c>
    </row>
    <row r="11" spans="1:8" x14ac:dyDescent="0.35">
      <c r="A11" t="s">
        <v>24</v>
      </c>
      <c r="B11" t="s">
        <v>33</v>
      </c>
      <c r="C11" t="s">
        <v>23</v>
      </c>
      <c r="D11" t="s">
        <v>34</v>
      </c>
      <c r="E11" t="s">
        <v>12</v>
      </c>
      <c r="F11">
        <v>92.2</v>
      </c>
      <c r="G11">
        <v>201</v>
      </c>
      <c r="H11">
        <v>18532.2</v>
      </c>
    </row>
    <row r="12" spans="1:8" x14ac:dyDescent="0.35">
      <c r="A12" t="s">
        <v>24</v>
      </c>
      <c r="B12" t="s">
        <v>35</v>
      </c>
      <c r="C12" t="s">
        <v>23</v>
      </c>
      <c r="D12" t="s">
        <v>32</v>
      </c>
      <c r="E12" t="s">
        <v>12</v>
      </c>
      <c r="F12">
        <v>21.9</v>
      </c>
      <c r="G12">
        <v>0</v>
      </c>
      <c r="H12">
        <v>0</v>
      </c>
    </row>
    <row r="13" spans="1:8" x14ac:dyDescent="0.35">
      <c r="A13" t="s">
        <v>8</v>
      </c>
      <c r="B13" t="s">
        <v>36</v>
      </c>
      <c r="C13" t="s">
        <v>31</v>
      </c>
      <c r="D13" t="s">
        <v>11</v>
      </c>
      <c r="E13" t="s">
        <v>12</v>
      </c>
      <c r="F13">
        <v>46.58</v>
      </c>
      <c r="G13">
        <v>100</v>
      </c>
      <c r="H13">
        <v>4658</v>
      </c>
    </row>
    <row r="14" spans="1:8" x14ac:dyDescent="0.35">
      <c r="A14" t="s">
        <v>19</v>
      </c>
      <c r="B14" t="s">
        <v>37</v>
      </c>
      <c r="C14" t="s">
        <v>23</v>
      </c>
      <c r="D14" t="s">
        <v>32</v>
      </c>
      <c r="E14" t="s">
        <v>12</v>
      </c>
      <c r="F14">
        <v>20.62</v>
      </c>
      <c r="G14">
        <v>0</v>
      </c>
      <c r="H14">
        <v>0</v>
      </c>
    </row>
    <row r="15" spans="1:8" x14ac:dyDescent="0.35">
      <c r="A15" t="s">
        <v>16</v>
      </c>
      <c r="B15" t="s">
        <v>38</v>
      </c>
      <c r="C15" t="s">
        <v>23</v>
      </c>
      <c r="D15" t="s">
        <v>29</v>
      </c>
      <c r="E15" t="s">
        <v>12</v>
      </c>
      <c r="F15">
        <v>88.24</v>
      </c>
      <c r="G15">
        <v>0</v>
      </c>
      <c r="H15">
        <v>0</v>
      </c>
    </row>
    <row r="16" spans="1:8" x14ac:dyDescent="0.35">
      <c r="A16" t="s">
        <v>24</v>
      </c>
      <c r="B16" t="s">
        <v>39</v>
      </c>
      <c r="C16" t="s">
        <v>39</v>
      </c>
      <c r="D16" t="s">
        <v>39</v>
      </c>
      <c r="E16" t="s">
        <v>39</v>
      </c>
      <c r="F16">
        <v>0</v>
      </c>
      <c r="G16">
        <v>0</v>
      </c>
      <c r="H16">
        <v>0</v>
      </c>
    </row>
    <row r="17" spans="1:8" x14ac:dyDescent="0.35">
      <c r="A17" t="s">
        <v>19</v>
      </c>
      <c r="B17" t="s">
        <v>40</v>
      </c>
      <c r="C17" t="s">
        <v>10</v>
      </c>
      <c r="D17" t="s">
        <v>18</v>
      </c>
      <c r="E17" t="s">
        <v>15</v>
      </c>
      <c r="F17">
        <v>276.27</v>
      </c>
      <c r="G17">
        <v>0</v>
      </c>
      <c r="H17">
        <v>0</v>
      </c>
    </row>
    <row r="18" spans="1:8" x14ac:dyDescent="0.35">
      <c r="A18" t="s">
        <v>24</v>
      </c>
      <c r="B18" t="s">
        <v>41</v>
      </c>
      <c r="C18" t="s">
        <v>23</v>
      </c>
      <c r="D18" t="s">
        <v>29</v>
      </c>
      <c r="E18" t="s">
        <v>12</v>
      </c>
      <c r="F18">
        <v>31.27</v>
      </c>
      <c r="G18">
        <v>3</v>
      </c>
      <c r="H18">
        <v>93.81</v>
      </c>
    </row>
    <row r="19" spans="1:8" x14ac:dyDescent="0.35">
      <c r="A19" t="s">
        <v>19</v>
      </c>
      <c r="B19" t="s">
        <v>42</v>
      </c>
      <c r="C19" t="s">
        <v>10</v>
      </c>
      <c r="D19" t="s">
        <v>14</v>
      </c>
      <c r="E19" t="s">
        <v>43</v>
      </c>
      <c r="F19">
        <v>80.97</v>
      </c>
      <c r="G19">
        <v>100</v>
      </c>
      <c r="H19">
        <v>8097</v>
      </c>
    </row>
    <row r="20" spans="1:8" x14ac:dyDescent="0.35">
      <c r="A20" t="s">
        <v>24</v>
      </c>
      <c r="B20" t="s">
        <v>44</v>
      </c>
      <c r="C20" t="s">
        <v>23</v>
      </c>
      <c r="D20" t="s">
        <v>45</v>
      </c>
      <c r="E20" t="s">
        <v>12</v>
      </c>
      <c r="F20">
        <v>6.5679999999999996</v>
      </c>
      <c r="G20">
        <v>0</v>
      </c>
      <c r="H20">
        <v>0</v>
      </c>
    </row>
    <row r="21" spans="1:8" x14ac:dyDescent="0.35">
      <c r="A21" t="s">
        <v>19</v>
      </c>
      <c r="B21" t="s">
        <v>46</v>
      </c>
      <c r="C21" t="s">
        <v>10</v>
      </c>
      <c r="D21" t="s">
        <v>21</v>
      </c>
      <c r="E21" t="s">
        <v>12</v>
      </c>
      <c r="F21">
        <v>32.119999999999997</v>
      </c>
      <c r="G21">
        <v>0</v>
      </c>
      <c r="H21">
        <v>0</v>
      </c>
    </row>
    <row r="22" spans="1:8" x14ac:dyDescent="0.35">
      <c r="A22" t="s">
        <v>8</v>
      </c>
      <c r="B22" t="s">
        <v>47</v>
      </c>
      <c r="C22" t="s">
        <v>10</v>
      </c>
      <c r="D22" t="s">
        <v>48</v>
      </c>
      <c r="E22" t="s">
        <v>12</v>
      </c>
      <c r="F22">
        <v>97.47</v>
      </c>
      <c r="G22">
        <v>0</v>
      </c>
      <c r="H22">
        <v>0</v>
      </c>
    </row>
    <row r="23" spans="1:8" x14ac:dyDescent="0.35">
      <c r="A23" t="s">
        <v>19</v>
      </c>
      <c r="B23" t="s">
        <v>49</v>
      </c>
      <c r="C23" t="s">
        <v>23</v>
      </c>
      <c r="D23" t="s">
        <v>50</v>
      </c>
      <c r="E23" t="s">
        <v>12</v>
      </c>
      <c r="F23">
        <v>23.925000000000001</v>
      </c>
      <c r="G23">
        <v>0</v>
      </c>
      <c r="H23">
        <v>0</v>
      </c>
    </row>
    <row r="24" spans="1:8" x14ac:dyDescent="0.35">
      <c r="A24" t="s">
        <v>8</v>
      </c>
      <c r="B24" t="s">
        <v>51</v>
      </c>
      <c r="C24" t="s">
        <v>10</v>
      </c>
      <c r="D24" t="s">
        <v>14</v>
      </c>
      <c r="E24" t="s">
        <v>43</v>
      </c>
      <c r="F24">
        <v>120.24</v>
      </c>
      <c r="G24">
        <v>100</v>
      </c>
      <c r="H24">
        <v>12024</v>
      </c>
    </row>
    <row r="25" spans="1:8" x14ac:dyDescent="0.35">
      <c r="A25" t="s">
        <v>19</v>
      </c>
      <c r="B25" t="s">
        <v>52</v>
      </c>
      <c r="C25" t="s">
        <v>23</v>
      </c>
      <c r="D25" t="s">
        <v>29</v>
      </c>
      <c r="E25" t="s">
        <v>12</v>
      </c>
      <c r="F25">
        <v>68.28</v>
      </c>
      <c r="G25">
        <v>200</v>
      </c>
      <c r="H25">
        <v>13656</v>
      </c>
    </row>
    <row r="26" spans="1:8" x14ac:dyDescent="0.35">
      <c r="A26" t="s">
        <v>8</v>
      </c>
      <c r="B26" t="s">
        <v>53</v>
      </c>
      <c r="C26" t="s">
        <v>10</v>
      </c>
      <c r="D26" t="s">
        <v>18</v>
      </c>
      <c r="E26" t="s">
        <v>15</v>
      </c>
      <c r="F26">
        <v>36.35</v>
      </c>
      <c r="G26">
        <v>500</v>
      </c>
      <c r="H26">
        <v>18175</v>
      </c>
    </row>
    <row r="27" spans="1:8" x14ac:dyDescent="0.35">
      <c r="A27" t="s">
        <v>8</v>
      </c>
      <c r="B27" t="s">
        <v>49</v>
      </c>
      <c r="C27" t="s">
        <v>23</v>
      </c>
      <c r="D27" t="s">
        <v>50</v>
      </c>
      <c r="E27" t="s">
        <v>12</v>
      </c>
      <c r="F27">
        <v>23.925000000000001</v>
      </c>
      <c r="G27">
        <v>0</v>
      </c>
      <c r="H27">
        <v>0</v>
      </c>
    </row>
    <row r="28" spans="1:8" x14ac:dyDescent="0.35">
      <c r="A28" t="s">
        <v>8</v>
      </c>
      <c r="B28" t="s">
        <v>54</v>
      </c>
      <c r="C28" t="s">
        <v>10</v>
      </c>
      <c r="D28" t="s">
        <v>29</v>
      </c>
      <c r="E28" t="s">
        <v>12</v>
      </c>
      <c r="F28">
        <v>110.9</v>
      </c>
      <c r="G28">
        <v>0</v>
      </c>
      <c r="H28">
        <v>0</v>
      </c>
    </row>
    <row r="29" spans="1:8" x14ac:dyDescent="0.35">
      <c r="A29" t="s">
        <v>24</v>
      </c>
      <c r="B29" t="s">
        <v>55</v>
      </c>
      <c r="C29" t="s">
        <v>23</v>
      </c>
      <c r="D29" t="s">
        <v>45</v>
      </c>
      <c r="E29" t="s">
        <v>12</v>
      </c>
      <c r="F29">
        <v>65.58</v>
      </c>
      <c r="G29">
        <v>2</v>
      </c>
      <c r="H29">
        <v>131.16</v>
      </c>
    </row>
    <row r="30" spans="1:8" x14ac:dyDescent="0.35">
      <c r="A30" t="s">
        <v>16</v>
      </c>
      <c r="B30" t="s">
        <v>56</v>
      </c>
      <c r="C30" t="s">
        <v>10</v>
      </c>
      <c r="D30" t="s">
        <v>27</v>
      </c>
      <c r="E30" t="s">
        <v>12</v>
      </c>
      <c r="F30">
        <v>0</v>
      </c>
      <c r="G30">
        <v>0</v>
      </c>
      <c r="H30">
        <v>0</v>
      </c>
    </row>
    <row r="31" spans="1:8" x14ac:dyDescent="0.35">
      <c r="A31" t="s">
        <v>24</v>
      </c>
      <c r="B31" t="s">
        <v>52</v>
      </c>
      <c r="C31" t="s">
        <v>23</v>
      </c>
      <c r="D31" t="s">
        <v>29</v>
      </c>
      <c r="E31" t="s">
        <v>12</v>
      </c>
      <c r="F31">
        <v>68.28</v>
      </c>
      <c r="G31">
        <v>229</v>
      </c>
      <c r="H31">
        <v>15636.12</v>
      </c>
    </row>
    <row r="32" spans="1:8" x14ac:dyDescent="0.35">
      <c r="A32" t="s">
        <v>16</v>
      </c>
      <c r="B32" t="s">
        <v>57</v>
      </c>
      <c r="C32" t="s">
        <v>10</v>
      </c>
      <c r="D32" t="s">
        <v>11</v>
      </c>
      <c r="E32" t="s">
        <v>12</v>
      </c>
      <c r="F32">
        <v>160.15</v>
      </c>
      <c r="G32">
        <v>0</v>
      </c>
      <c r="H32">
        <v>0</v>
      </c>
    </row>
    <row r="33" spans="1:8" x14ac:dyDescent="0.35">
      <c r="A33" t="s">
        <v>16</v>
      </c>
      <c r="B33" t="s">
        <v>58</v>
      </c>
      <c r="C33" t="s">
        <v>10</v>
      </c>
      <c r="D33" t="s">
        <v>59</v>
      </c>
      <c r="E33" t="s">
        <v>12</v>
      </c>
      <c r="F33">
        <v>80.97</v>
      </c>
      <c r="G33">
        <v>0</v>
      </c>
      <c r="H33">
        <v>0</v>
      </c>
    </row>
    <row r="34" spans="1:8" x14ac:dyDescent="0.35">
      <c r="A34" t="s">
        <v>19</v>
      </c>
      <c r="B34" t="s">
        <v>60</v>
      </c>
      <c r="C34" t="s">
        <v>10</v>
      </c>
      <c r="D34" t="s">
        <v>29</v>
      </c>
      <c r="E34" t="s">
        <v>12</v>
      </c>
      <c r="F34">
        <v>79.930000000000007</v>
      </c>
      <c r="G34">
        <v>0</v>
      </c>
      <c r="H34">
        <v>0</v>
      </c>
    </row>
    <row r="35" spans="1:8" x14ac:dyDescent="0.35">
      <c r="A35" t="s">
        <v>16</v>
      </c>
      <c r="B35" t="s">
        <v>61</v>
      </c>
      <c r="C35" t="s">
        <v>10</v>
      </c>
      <c r="D35" t="s">
        <v>11</v>
      </c>
      <c r="E35" t="s">
        <v>12</v>
      </c>
      <c r="F35">
        <v>100.19</v>
      </c>
      <c r="G35">
        <v>0</v>
      </c>
      <c r="H35">
        <v>0</v>
      </c>
    </row>
    <row r="36" spans="1:8" x14ac:dyDescent="0.35">
      <c r="A36" t="s">
        <v>8</v>
      </c>
      <c r="B36" t="s">
        <v>62</v>
      </c>
      <c r="C36" t="s">
        <v>10</v>
      </c>
      <c r="D36" t="s">
        <v>14</v>
      </c>
      <c r="E36" t="s">
        <v>43</v>
      </c>
      <c r="F36">
        <v>225.1</v>
      </c>
      <c r="G36">
        <v>0</v>
      </c>
      <c r="H36">
        <v>0</v>
      </c>
    </row>
    <row r="37" spans="1:8" x14ac:dyDescent="0.35">
      <c r="A37" t="s">
        <v>16</v>
      </c>
      <c r="B37" t="s">
        <v>63</v>
      </c>
      <c r="C37" t="s">
        <v>64</v>
      </c>
      <c r="D37" t="s">
        <v>29</v>
      </c>
      <c r="E37" t="s">
        <v>12</v>
      </c>
      <c r="F37">
        <v>4218.9998999999998</v>
      </c>
      <c r="G37">
        <v>0</v>
      </c>
      <c r="H37">
        <v>0</v>
      </c>
    </row>
    <row r="38" spans="1:8" x14ac:dyDescent="0.35">
      <c r="A38" t="s">
        <v>24</v>
      </c>
      <c r="B38" t="s">
        <v>65</v>
      </c>
      <c r="C38" t="s">
        <v>23</v>
      </c>
      <c r="D38" t="s">
        <v>34</v>
      </c>
      <c r="E38" t="s">
        <v>12</v>
      </c>
      <c r="F38">
        <v>19.14</v>
      </c>
      <c r="G38">
        <v>6</v>
      </c>
      <c r="H38">
        <v>114.84</v>
      </c>
    </row>
    <row r="39" spans="1:8" x14ac:dyDescent="0.35">
      <c r="A39" t="s">
        <v>8</v>
      </c>
      <c r="B39" t="s">
        <v>66</v>
      </c>
      <c r="C39" t="s">
        <v>10</v>
      </c>
      <c r="D39" t="s">
        <v>59</v>
      </c>
      <c r="E39" t="s">
        <v>12</v>
      </c>
      <c r="F39">
        <v>15.48</v>
      </c>
      <c r="G39">
        <v>0</v>
      </c>
      <c r="H39">
        <v>0</v>
      </c>
    </row>
    <row r="40" spans="1:8" x14ac:dyDescent="0.35">
      <c r="A40" t="s">
        <v>8</v>
      </c>
      <c r="B40" t="s">
        <v>67</v>
      </c>
      <c r="C40" t="s">
        <v>10</v>
      </c>
      <c r="D40" t="s">
        <v>14</v>
      </c>
      <c r="E40" t="s">
        <v>43</v>
      </c>
      <c r="F40">
        <v>188.12</v>
      </c>
      <c r="G40">
        <v>100</v>
      </c>
      <c r="H40">
        <v>18812</v>
      </c>
    </row>
    <row r="41" spans="1:8" x14ac:dyDescent="0.35">
      <c r="A41" t="s">
        <v>19</v>
      </c>
      <c r="B41" t="s">
        <v>68</v>
      </c>
      <c r="C41" t="s">
        <v>10</v>
      </c>
      <c r="D41" t="s">
        <v>59</v>
      </c>
      <c r="E41" t="s">
        <v>12</v>
      </c>
      <c r="F41">
        <v>13.21</v>
      </c>
      <c r="G41">
        <v>0</v>
      </c>
      <c r="H41">
        <v>0</v>
      </c>
    </row>
    <row r="42" spans="1:8" x14ac:dyDescent="0.35">
      <c r="A42" t="s">
        <v>24</v>
      </c>
      <c r="B42" t="s">
        <v>69</v>
      </c>
      <c r="C42" t="s">
        <v>23</v>
      </c>
      <c r="D42" t="s">
        <v>29</v>
      </c>
      <c r="E42" t="s">
        <v>12</v>
      </c>
      <c r="F42">
        <v>55.54</v>
      </c>
      <c r="G42">
        <v>745</v>
      </c>
      <c r="H42">
        <v>41377.300000000003</v>
      </c>
    </row>
    <row r="43" spans="1:8" x14ac:dyDescent="0.35">
      <c r="A43" t="s">
        <v>19</v>
      </c>
      <c r="B43" t="s">
        <v>70</v>
      </c>
      <c r="C43" t="s">
        <v>10</v>
      </c>
      <c r="D43" t="s">
        <v>32</v>
      </c>
      <c r="E43" t="s">
        <v>12</v>
      </c>
      <c r="F43">
        <v>57.34</v>
      </c>
      <c r="G43">
        <v>0</v>
      </c>
      <c r="H43">
        <v>0</v>
      </c>
    </row>
    <row r="44" spans="1:8" x14ac:dyDescent="0.35">
      <c r="A44" t="s">
        <v>16</v>
      </c>
      <c r="B44" t="s">
        <v>71</v>
      </c>
      <c r="C44" t="s">
        <v>64</v>
      </c>
      <c r="D44" t="s">
        <v>29</v>
      </c>
      <c r="E44" t="s">
        <v>12</v>
      </c>
      <c r="F44">
        <v>57.04</v>
      </c>
      <c r="G44">
        <v>0</v>
      </c>
      <c r="H44">
        <v>0</v>
      </c>
    </row>
    <row r="45" spans="1:8" x14ac:dyDescent="0.35">
      <c r="A45" t="s">
        <v>8</v>
      </c>
      <c r="B45" t="s">
        <v>72</v>
      </c>
      <c r="C45" t="s">
        <v>10</v>
      </c>
      <c r="D45" t="s">
        <v>18</v>
      </c>
      <c r="E45" t="s">
        <v>15</v>
      </c>
      <c r="F45">
        <v>189.21</v>
      </c>
      <c r="G45">
        <v>0</v>
      </c>
      <c r="H45">
        <v>0</v>
      </c>
    </row>
    <row r="46" spans="1:8" x14ac:dyDescent="0.35">
      <c r="A46" t="s">
        <v>19</v>
      </c>
      <c r="B46" t="s">
        <v>69</v>
      </c>
      <c r="C46" t="s">
        <v>23</v>
      </c>
      <c r="D46" t="s">
        <v>29</v>
      </c>
      <c r="E46" t="s">
        <v>12</v>
      </c>
      <c r="F46">
        <v>55.54</v>
      </c>
      <c r="G46">
        <v>101</v>
      </c>
      <c r="H46">
        <v>5609.54</v>
      </c>
    </row>
    <row r="47" spans="1:8" x14ac:dyDescent="0.35">
      <c r="A47" t="s">
        <v>24</v>
      </c>
      <c r="B47" t="s">
        <v>73</v>
      </c>
      <c r="C47" t="s">
        <v>23</v>
      </c>
      <c r="D47" t="s">
        <v>59</v>
      </c>
      <c r="E47" t="s">
        <v>12</v>
      </c>
      <c r="F47">
        <v>38.26</v>
      </c>
      <c r="G47">
        <v>50</v>
      </c>
      <c r="H47">
        <v>1913</v>
      </c>
    </row>
    <row r="48" spans="1:8" x14ac:dyDescent="0.35">
      <c r="A48" t="s">
        <v>24</v>
      </c>
      <c r="B48" t="s">
        <v>74</v>
      </c>
      <c r="C48" t="s">
        <v>31</v>
      </c>
      <c r="D48" t="s">
        <v>48</v>
      </c>
      <c r="E48" t="s">
        <v>12</v>
      </c>
      <c r="F48">
        <v>35.454999999999998</v>
      </c>
      <c r="G48">
        <v>500</v>
      </c>
      <c r="H48">
        <v>17727.5</v>
      </c>
    </row>
    <row r="49" spans="1:8" x14ac:dyDescent="0.35">
      <c r="A49" t="s">
        <v>19</v>
      </c>
      <c r="B49" t="s">
        <v>75</v>
      </c>
      <c r="C49" t="s">
        <v>23</v>
      </c>
      <c r="D49" t="s">
        <v>29</v>
      </c>
      <c r="E49" t="s">
        <v>12</v>
      </c>
      <c r="F49">
        <v>13.31</v>
      </c>
      <c r="G49">
        <v>22</v>
      </c>
      <c r="H49">
        <v>292.82</v>
      </c>
    </row>
    <row r="50" spans="1:8" x14ac:dyDescent="0.35">
      <c r="A50" t="s">
        <v>19</v>
      </c>
      <c r="B50" t="s">
        <v>35</v>
      </c>
      <c r="C50" t="s">
        <v>23</v>
      </c>
      <c r="D50" t="s">
        <v>32</v>
      </c>
      <c r="E50" t="s">
        <v>12</v>
      </c>
      <c r="F50">
        <v>21.9</v>
      </c>
      <c r="G50">
        <v>0</v>
      </c>
      <c r="H50">
        <v>0</v>
      </c>
    </row>
    <row r="51" spans="1:8" x14ac:dyDescent="0.35">
      <c r="A51" t="s">
        <v>24</v>
      </c>
      <c r="B51" t="s">
        <v>75</v>
      </c>
      <c r="C51" t="s">
        <v>23</v>
      </c>
      <c r="D51" t="s">
        <v>29</v>
      </c>
      <c r="E51" t="s">
        <v>12</v>
      </c>
      <c r="F51">
        <v>13.31</v>
      </c>
      <c r="G51">
        <v>300</v>
      </c>
      <c r="H51">
        <v>3993</v>
      </c>
    </row>
    <row r="52" spans="1:8" x14ac:dyDescent="0.35">
      <c r="A52" t="s">
        <v>19</v>
      </c>
      <c r="B52" t="s">
        <v>36</v>
      </c>
      <c r="C52" t="s">
        <v>31</v>
      </c>
      <c r="D52" t="s">
        <v>11</v>
      </c>
      <c r="E52" t="s">
        <v>12</v>
      </c>
      <c r="F52">
        <v>46.58</v>
      </c>
      <c r="G52">
        <v>0</v>
      </c>
      <c r="H52">
        <v>0</v>
      </c>
    </row>
    <row r="53" spans="1:8" x14ac:dyDescent="0.35">
      <c r="A53" t="s">
        <v>24</v>
      </c>
      <c r="B53" t="s">
        <v>28</v>
      </c>
      <c r="C53" t="s">
        <v>23</v>
      </c>
      <c r="D53" t="s">
        <v>29</v>
      </c>
      <c r="E53" t="s">
        <v>12</v>
      </c>
      <c r="F53">
        <v>34.520000000000003</v>
      </c>
      <c r="G53">
        <v>340</v>
      </c>
      <c r="H53">
        <v>11736.8</v>
      </c>
    </row>
    <row r="54" spans="1:8" x14ac:dyDescent="0.35">
      <c r="A54" t="s">
        <v>16</v>
      </c>
      <c r="B54" t="s">
        <v>76</v>
      </c>
      <c r="C54" t="s">
        <v>10</v>
      </c>
      <c r="D54" t="s">
        <v>14</v>
      </c>
      <c r="E54" t="s">
        <v>43</v>
      </c>
      <c r="F54">
        <v>195.34</v>
      </c>
      <c r="G54">
        <v>0</v>
      </c>
      <c r="H54">
        <v>0</v>
      </c>
    </row>
    <row r="55" spans="1:8" x14ac:dyDescent="0.35">
      <c r="A55" t="s">
        <v>8</v>
      </c>
      <c r="B55" t="s">
        <v>77</v>
      </c>
      <c r="C55" t="s">
        <v>10</v>
      </c>
      <c r="D55" t="s">
        <v>48</v>
      </c>
      <c r="E55" t="s">
        <v>12</v>
      </c>
      <c r="F55">
        <v>154.99</v>
      </c>
      <c r="G55">
        <v>100</v>
      </c>
      <c r="H55">
        <v>15499</v>
      </c>
    </row>
    <row r="56" spans="1:8" x14ac:dyDescent="0.35">
      <c r="A56" t="s">
        <v>24</v>
      </c>
      <c r="B56" t="s">
        <v>78</v>
      </c>
      <c r="C56" t="s">
        <v>79</v>
      </c>
      <c r="D56" t="s">
        <v>29</v>
      </c>
      <c r="E56" t="s">
        <v>12</v>
      </c>
      <c r="F56">
        <v>76.48</v>
      </c>
      <c r="G56">
        <v>0</v>
      </c>
      <c r="H56">
        <v>0</v>
      </c>
    </row>
    <row r="57" spans="1:8" x14ac:dyDescent="0.35">
      <c r="A57" t="s">
        <v>24</v>
      </c>
      <c r="B57" t="s">
        <v>80</v>
      </c>
      <c r="C57" t="s">
        <v>23</v>
      </c>
      <c r="D57" t="s">
        <v>18</v>
      </c>
      <c r="E57" t="s">
        <v>15</v>
      </c>
      <c r="F57">
        <v>131.9</v>
      </c>
      <c r="G57">
        <v>106</v>
      </c>
      <c r="H57">
        <v>13981.4</v>
      </c>
    </row>
    <row r="58" spans="1:8" x14ac:dyDescent="0.35">
      <c r="A58" t="s">
        <v>19</v>
      </c>
      <c r="B58" t="s">
        <v>81</v>
      </c>
      <c r="C58" t="s">
        <v>10</v>
      </c>
      <c r="D58" t="s">
        <v>14</v>
      </c>
      <c r="E58" t="s">
        <v>43</v>
      </c>
      <c r="F58">
        <v>89.06</v>
      </c>
      <c r="G58">
        <v>100</v>
      </c>
      <c r="H58">
        <v>8906</v>
      </c>
    </row>
    <row r="59" spans="1:8" x14ac:dyDescent="0.35">
      <c r="A59" t="s">
        <v>16</v>
      </c>
      <c r="B59" t="s">
        <v>82</v>
      </c>
      <c r="C59" t="s">
        <v>10</v>
      </c>
      <c r="D59" t="s">
        <v>14</v>
      </c>
      <c r="E59" t="s">
        <v>43</v>
      </c>
      <c r="F59">
        <v>154.36000000000001</v>
      </c>
      <c r="G59">
        <v>0</v>
      </c>
      <c r="H59">
        <v>0</v>
      </c>
    </row>
    <row r="60" spans="1:8" x14ac:dyDescent="0.35">
      <c r="A60" t="s">
        <v>8</v>
      </c>
      <c r="B60" t="s">
        <v>83</v>
      </c>
      <c r="C60" t="s">
        <v>10</v>
      </c>
      <c r="D60" t="s">
        <v>84</v>
      </c>
      <c r="E60" t="s">
        <v>12</v>
      </c>
      <c r="F60">
        <v>39.92</v>
      </c>
      <c r="G60">
        <v>300</v>
      </c>
      <c r="H60">
        <v>11976</v>
      </c>
    </row>
    <row r="61" spans="1:8" x14ac:dyDescent="0.35">
      <c r="A61" t="s">
        <v>19</v>
      </c>
      <c r="B61" t="s">
        <v>44</v>
      </c>
      <c r="C61" t="s">
        <v>23</v>
      </c>
      <c r="D61" t="s">
        <v>45</v>
      </c>
      <c r="E61" t="s">
        <v>12</v>
      </c>
      <c r="F61">
        <v>6.5679999999999996</v>
      </c>
      <c r="G61">
        <v>0</v>
      </c>
      <c r="H61">
        <v>0</v>
      </c>
    </row>
    <row r="62" spans="1:8" x14ac:dyDescent="0.35">
      <c r="A62" t="s">
        <v>16</v>
      </c>
      <c r="B62" t="s">
        <v>85</v>
      </c>
      <c r="C62" t="s">
        <v>64</v>
      </c>
      <c r="D62" t="s">
        <v>21</v>
      </c>
      <c r="E62" t="s">
        <v>12</v>
      </c>
      <c r="F62">
        <v>34.58</v>
      </c>
      <c r="G62">
        <v>0</v>
      </c>
      <c r="H62">
        <v>0</v>
      </c>
    </row>
    <row r="63" spans="1:8" x14ac:dyDescent="0.35">
      <c r="A63" t="s">
        <v>8</v>
      </c>
      <c r="B63" t="s">
        <v>69</v>
      </c>
      <c r="C63" t="s">
        <v>23</v>
      </c>
      <c r="D63" t="s">
        <v>29</v>
      </c>
      <c r="E63" t="s">
        <v>12</v>
      </c>
      <c r="F63">
        <v>55.54</v>
      </c>
      <c r="G63">
        <v>0</v>
      </c>
      <c r="H63">
        <v>0</v>
      </c>
    </row>
    <row r="64" spans="1:8" x14ac:dyDescent="0.35">
      <c r="A64" t="s">
        <v>24</v>
      </c>
      <c r="B64" t="s">
        <v>86</v>
      </c>
      <c r="C64" t="s">
        <v>23</v>
      </c>
      <c r="D64" t="s">
        <v>50</v>
      </c>
      <c r="E64" t="s">
        <v>12</v>
      </c>
      <c r="F64">
        <v>29.57</v>
      </c>
      <c r="G64">
        <v>20</v>
      </c>
      <c r="H64">
        <v>591.4</v>
      </c>
    </row>
    <row r="65" spans="1:8" x14ac:dyDescent="0.35">
      <c r="A65" t="s">
        <v>24</v>
      </c>
      <c r="B65" t="s">
        <v>36</v>
      </c>
      <c r="C65" t="s">
        <v>31</v>
      </c>
      <c r="D65" t="s">
        <v>11</v>
      </c>
      <c r="E65" t="s">
        <v>12</v>
      </c>
      <c r="F65">
        <v>46.58</v>
      </c>
      <c r="G65">
        <v>0</v>
      </c>
      <c r="H65">
        <v>0</v>
      </c>
    </row>
    <row r="66" spans="1:8" x14ac:dyDescent="0.35">
      <c r="A66" t="s">
        <v>19</v>
      </c>
      <c r="B66" t="s">
        <v>51</v>
      </c>
      <c r="C66" t="s">
        <v>10</v>
      </c>
      <c r="D66" t="s">
        <v>14</v>
      </c>
      <c r="E66" t="s">
        <v>43</v>
      </c>
      <c r="F66">
        <v>120.24</v>
      </c>
      <c r="G66">
        <v>0</v>
      </c>
      <c r="H66">
        <v>0</v>
      </c>
    </row>
    <row r="67" spans="1:8" x14ac:dyDescent="0.35">
      <c r="A67" t="s">
        <v>16</v>
      </c>
      <c r="B67" t="s">
        <v>87</v>
      </c>
      <c r="C67" t="s">
        <v>10</v>
      </c>
      <c r="D67" t="s">
        <v>48</v>
      </c>
      <c r="E67" t="s">
        <v>12</v>
      </c>
      <c r="F67">
        <v>324.8</v>
      </c>
      <c r="G67">
        <v>0</v>
      </c>
      <c r="H67">
        <v>0</v>
      </c>
    </row>
    <row r="68" spans="1:8" x14ac:dyDescent="0.35">
      <c r="A68" t="s">
        <v>8</v>
      </c>
      <c r="B68" t="s">
        <v>70</v>
      </c>
      <c r="C68" t="s">
        <v>10</v>
      </c>
      <c r="D68" t="s">
        <v>32</v>
      </c>
      <c r="E68" t="s">
        <v>12</v>
      </c>
      <c r="F68">
        <v>57.34</v>
      </c>
      <c r="G68">
        <v>100</v>
      </c>
      <c r="H68">
        <v>5734</v>
      </c>
    </row>
    <row r="69" spans="1:8" x14ac:dyDescent="0.35">
      <c r="A69" t="s">
        <v>24</v>
      </c>
      <c r="B69" t="s">
        <v>88</v>
      </c>
      <c r="C69" t="s">
        <v>23</v>
      </c>
      <c r="D69" t="s">
        <v>14</v>
      </c>
      <c r="E69" t="s">
        <v>43</v>
      </c>
      <c r="F69">
        <v>20.3</v>
      </c>
      <c r="G69">
        <v>0</v>
      </c>
      <c r="H69">
        <v>0</v>
      </c>
    </row>
    <row r="70" spans="1:8" x14ac:dyDescent="0.35">
      <c r="A70" t="s">
        <v>19</v>
      </c>
      <c r="B70" t="s">
        <v>89</v>
      </c>
      <c r="C70" t="s">
        <v>10</v>
      </c>
      <c r="D70" t="s">
        <v>14</v>
      </c>
      <c r="E70" t="s">
        <v>43</v>
      </c>
      <c r="F70">
        <v>151.22999999999999</v>
      </c>
      <c r="G70">
        <v>0</v>
      </c>
      <c r="H70">
        <v>0</v>
      </c>
    </row>
    <row r="71" spans="1:8" x14ac:dyDescent="0.35">
      <c r="A71" t="s">
        <v>19</v>
      </c>
      <c r="B71" t="s">
        <v>90</v>
      </c>
      <c r="C71" t="s">
        <v>10</v>
      </c>
      <c r="D71" t="s">
        <v>18</v>
      </c>
      <c r="E71" t="s">
        <v>15</v>
      </c>
      <c r="F71">
        <v>214.9</v>
      </c>
      <c r="G71">
        <v>0</v>
      </c>
      <c r="H71">
        <v>0</v>
      </c>
    </row>
    <row r="72" spans="1:8" x14ac:dyDescent="0.35">
      <c r="A72" t="s">
        <v>16</v>
      </c>
      <c r="B72" t="s">
        <v>91</v>
      </c>
      <c r="C72" t="s">
        <v>23</v>
      </c>
      <c r="D72" t="s">
        <v>21</v>
      </c>
      <c r="E72" t="s">
        <v>12</v>
      </c>
      <c r="F72">
        <v>37.42</v>
      </c>
      <c r="G72">
        <v>0</v>
      </c>
      <c r="H72">
        <v>0</v>
      </c>
    </row>
    <row r="73" spans="1:8" x14ac:dyDescent="0.35">
      <c r="A73" t="s">
        <v>19</v>
      </c>
      <c r="B73" t="s">
        <v>80</v>
      </c>
      <c r="C73" t="s">
        <v>23</v>
      </c>
      <c r="D73" t="s">
        <v>18</v>
      </c>
      <c r="E73" t="s">
        <v>15</v>
      </c>
      <c r="F73">
        <v>131.9</v>
      </c>
      <c r="G73">
        <v>11</v>
      </c>
      <c r="H73">
        <v>1450.9</v>
      </c>
    </row>
    <row r="74" spans="1:8" x14ac:dyDescent="0.35">
      <c r="A74" t="s">
        <v>8</v>
      </c>
      <c r="B74" t="s">
        <v>92</v>
      </c>
      <c r="C74" t="s">
        <v>10</v>
      </c>
      <c r="D74" t="s">
        <v>32</v>
      </c>
      <c r="E74" t="s">
        <v>12</v>
      </c>
      <c r="F74">
        <v>18.43</v>
      </c>
      <c r="G74">
        <v>2800</v>
      </c>
      <c r="H74">
        <v>51604</v>
      </c>
    </row>
    <row r="75" spans="1:8" x14ac:dyDescent="0.35">
      <c r="A75" t="s">
        <v>8</v>
      </c>
      <c r="B75" t="s">
        <v>39</v>
      </c>
      <c r="C75" t="s">
        <v>39</v>
      </c>
      <c r="D75" t="s">
        <v>39</v>
      </c>
      <c r="E75" t="s">
        <v>39</v>
      </c>
      <c r="F75">
        <v>0</v>
      </c>
      <c r="G75">
        <v>0</v>
      </c>
      <c r="H75">
        <v>0</v>
      </c>
    </row>
    <row r="76" spans="1:8" x14ac:dyDescent="0.35">
      <c r="A76" t="s">
        <v>8</v>
      </c>
      <c r="B76" t="s">
        <v>78</v>
      </c>
      <c r="C76" t="s">
        <v>79</v>
      </c>
      <c r="D76" t="s">
        <v>29</v>
      </c>
      <c r="E76" t="s">
        <v>12</v>
      </c>
      <c r="F76">
        <v>76.48</v>
      </c>
      <c r="G76">
        <v>0</v>
      </c>
      <c r="H76">
        <v>0</v>
      </c>
    </row>
    <row r="77" spans="1:8" x14ac:dyDescent="0.35">
      <c r="A77" t="s">
        <v>8</v>
      </c>
      <c r="B77" t="s">
        <v>93</v>
      </c>
      <c r="C77" t="s">
        <v>10</v>
      </c>
      <c r="D77" t="s">
        <v>34</v>
      </c>
      <c r="E77" t="s">
        <v>12</v>
      </c>
      <c r="F77">
        <v>55.93</v>
      </c>
      <c r="G77">
        <v>200</v>
      </c>
      <c r="H77">
        <v>11186</v>
      </c>
    </row>
    <row r="78" spans="1:8" x14ac:dyDescent="0.35">
      <c r="A78" t="s">
        <v>16</v>
      </c>
      <c r="B78" t="s">
        <v>94</v>
      </c>
      <c r="C78" t="s">
        <v>23</v>
      </c>
      <c r="D78" t="s">
        <v>27</v>
      </c>
      <c r="E78" t="s">
        <v>12</v>
      </c>
      <c r="F78">
        <v>951</v>
      </c>
      <c r="G78">
        <v>0</v>
      </c>
      <c r="H78">
        <v>0</v>
      </c>
    </row>
    <row r="79" spans="1:8" x14ac:dyDescent="0.35">
      <c r="A79" t="s">
        <v>8</v>
      </c>
      <c r="B79" t="s">
        <v>40</v>
      </c>
      <c r="C79" t="s">
        <v>10</v>
      </c>
      <c r="D79" t="s">
        <v>18</v>
      </c>
      <c r="E79" t="s">
        <v>15</v>
      </c>
      <c r="F79">
        <v>276.27</v>
      </c>
      <c r="G79">
        <v>0</v>
      </c>
      <c r="H79">
        <v>0</v>
      </c>
    </row>
    <row r="80" spans="1:8" x14ac:dyDescent="0.35">
      <c r="A80" t="s">
        <v>8</v>
      </c>
      <c r="B80" t="s">
        <v>95</v>
      </c>
      <c r="C80" t="s">
        <v>10</v>
      </c>
      <c r="D80" t="s">
        <v>18</v>
      </c>
      <c r="E80" t="s">
        <v>43</v>
      </c>
      <c r="F80">
        <v>131.32</v>
      </c>
      <c r="G80">
        <v>0</v>
      </c>
      <c r="H80">
        <v>0</v>
      </c>
    </row>
    <row r="81" spans="1:8" x14ac:dyDescent="0.35">
      <c r="A81" t="s">
        <v>19</v>
      </c>
      <c r="B81" t="s">
        <v>96</v>
      </c>
      <c r="C81" t="s">
        <v>10</v>
      </c>
      <c r="D81" t="s">
        <v>14</v>
      </c>
      <c r="E81" t="s">
        <v>43</v>
      </c>
      <c r="F81">
        <v>0</v>
      </c>
      <c r="G81">
        <v>0</v>
      </c>
      <c r="H81">
        <v>0</v>
      </c>
    </row>
    <row r="82" spans="1:8" x14ac:dyDescent="0.35">
      <c r="A82" t="s">
        <v>16</v>
      </c>
      <c r="B82" t="s">
        <v>97</v>
      </c>
      <c r="C82" t="s">
        <v>10</v>
      </c>
      <c r="D82" t="s">
        <v>48</v>
      </c>
      <c r="E82" t="s">
        <v>43</v>
      </c>
      <c r="F82">
        <v>577.34</v>
      </c>
      <c r="G82">
        <v>0</v>
      </c>
      <c r="H82">
        <v>0</v>
      </c>
    </row>
    <row r="83" spans="1:8" x14ac:dyDescent="0.35">
      <c r="A83" t="s">
        <v>8</v>
      </c>
      <c r="B83" t="s">
        <v>98</v>
      </c>
      <c r="C83" t="s">
        <v>10</v>
      </c>
      <c r="D83" t="s">
        <v>29</v>
      </c>
      <c r="E83" t="s">
        <v>12</v>
      </c>
      <c r="F83">
        <v>69.87</v>
      </c>
      <c r="G83">
        <v>200</v>
      </c>
      <c r="H83">
        <v>13974</v>
      </c>
    </row>
    <row r="84" spans="1:8" x14ac:dyDescent="0.35">
      <c r="A84" t="s">
        <v>8</v>
      </c>
      <c r="B84" t="s">
        <v>99</v>
      </c>
      <c r="C84" t="s">
        <v>10</v>
      </c>
      <c r="D84" t="s">
        <v>29</v>
      </c>
      <c r="E84" t="s">
        <v>12</v>
      </c>
      <c r="F84">
        <v>205.78</v>
      </c>
      <c r="G84">
        <v>1</v>
      </c>
      <c r="H84">
        <v>205.78</v>
      </c>
    </row>
    <row r="85" spans="1:8" x14ac:dyDescent="0.35">
      <c r="A85" t="s">
        <v>19</v>
      </c>
      <c r="B85" t="s">
        <v>100</v>
      </c>
      <c r="C85" t="s">
        <v>10</v>
      </c>
      <c r="D85" t="s">
        <v>59</v>
      </c>
      <c r="E85" t="s">
        <v>12</v>
      </c>
      <c r="F85">
        <v>61.08</v>
      </c>
      <c r="G85">
        <v>0</v>
      </c>
      <c r="H85">
        <v>0</v>
      </c>
    </row>
    <row r="86" spans="1:8" x14ac:dyDescent="0.35">
      <c r="A86" t="s">
        <v>8</v>
      </c>
      <c r="B86" t="s">
        <v>101</v>
      </c>
      <c r="C86" t="s">
        <v>10</v>
      </c>
      <c r="D86" t="s">
        <v>14</v>
      </c>
      <c r="E86" t="s">
        <v>43</v>
      </c>
      <c r="F86">
        <v>90.03</v>
      </c>
      <c r="G86">
        <v>0</v>
      </c>
      <c r="H86">
        <v>0</v>
      </c>
    </row>
    <row r="87" spans="1:8" x14ac:dyDescent="0.35">
      <c r="A87" t="s">
        <v>16</v>
      </c>
      <c r="B87" t="s">
        <v>102</v>
      </c>
      <c r="C87" t="s">
        <v>10</v>
      </c>
      <c r="D87" t="s">
        <v>84</v>
      </c>
      <c r="E87" t="s">
        <v>12</v>
      </c>
      <c r="F87">
        <v>24.46</v>
      </c>
      <c r="G87">
        <v>0</v>
      </c>
      <c r="H87">
        <v>0</v>
      </c>
    </row>
    <row r="88" spans="1:8" x14ac:dyDescent="0.35">
      <c r="A88" t="s">
        <v>8</v>
      </c>
      <c r="B88" t="s">
        <v>60</v>
      </c>
      <c r="C88" t="s">
        <v>10</v>
      </c>
      <c r="D88" t="s">
        <v>29</v>
      </c>
      <c r="E88" t="s">
        <v>12</v>
      </c>
      <c r="F88">
        <v>79.930000000000007</v>
      </c>
      <c r="G88">
        <v>100</v>
      </c>
      <c r="H88">
        <v>7993.0000000000009</v>
      </c>
    </row>
    <row r="89" spans="1:8" x14ac:dyDescent="0.35">
      <c r="A89" t="s">
        <v>16</v>
      </c>
      <c r="B89" t="s">
        <v>103</v>
      </c>
      <c r="C89" t="s">
        <v>10</v>
      </c>
      <c r="D89" t="s">
        <v>14</v>
      </c>
      <c r="E89" t="s">
        <v>15</v>
      </c>
      <c r="F89">
        <v>664.94</v>
      </c>
      <c r="G89">
        <v>0</v>
      </c>
      <c r="H89">
        <v>0</v>
      </c>
    </row>
    <row r="90" spans="1:8" x14ac:dyDescent="0.35">
      <c r="A90" t="s">
        <v>24</v>
      </c>
      <c r="B90" t="s">
        <v>104</v>
      </c>
      <c r="C90" t="s">
        <v>31</v>
      </c>
      <c r="D90" t="s">
        <v>32</v>
      </c>
      <c r="E90" t="s">
        <v>12</v>
      </c>
      <c r="F90">
        <v>92.86</v>
      </c>
      <c r="G90">
        <v>2</v>
      </c>
      <c r="H90">
        <v>185.72</v>
      </c>
    </row>
    <row r="91" spans="1:8" x14ac:dyDescent="0.35">
      <c r="A91" t="s">
        <v>24</v>
      </c>
      <c r="B91" t="s">
        <v>22</v>
      </c>
      <c r="C91" t="s">
        <v>23</v>
      </c>
      <c r="D91" t="s">
        <v>11</v>
      </c>
      <c r="E91" t="s">
        <v>12</v>
      </c>
      <c r="F91">
        <v>1.0409999999999999</v>
      </c>
      <c r="G91">
        <v>0</v>
      </c>
      <c r="H91">
        <v>0</v>
      </c>
    </row>
    <row r="92" spans="1:8" x14ac:dyDescent="0.35">
      <c r="A92" t="s">
        <v>19</v>
      </c>
      <c r="B92" t="s">
        <v>33</v>
      </c>
      <c r="C92" t="s">
        <v>23</v>
      </c>
      <c r="D92" t="s">
        <v>34</v>
      </c>
      <c r="E92" t="s">
        <v>12</v>
      </c>
      <c r="F92">
        <v>92.2</v>
      </c>
      <c r="G92">
        <v>0</v>
      </c>
      <c r="H92">
        <v>0</v>
      </c>
    </row>
    <row r="93" spans="1:8" x14ac:dyDescent="0.35">
      <c r="A93" t="s">
        <v>8</v>
      </c>
      <c r="B93" t="s">
        <v>80</v>
      </c>
      <c r="C93" t="s">
        <v>23</v>
      </c>
      <c r="D93" t="s">
        <v>18</v>
      </c>
      <c r="E93" t="s">
        <v>15</v>
      </c>
      <c r="F93">
        <v>131.9</v>
      </c>
      <c r="G93">
        <v>0</v>
      </c>
      <c r="H93">
        <v>0</v>
      </c>
    </row>
    <row r="94" spans="1:8" x14ac:dyDescent="0.35">
      <c r="A94" t="s">
        <v>24</v>
      </c>
      <c r="B94" t="s">
        <v>105</v>
      </c>
      <c r="C94" t="s">
        <v>23</v>
      </c>
      <c r="D94" t="s">
        <v>29</v>
      </c>
      <c r="E94" t="s">
        <v>12</v>
      </c>
      <c r="F94">
        <v>34.78</v>
      </c>
      <c r="G94">
        <v>6</v>
      </c>
      <c r="H94">
        <v>208.68</v>
      </c>
    </row>
    <row r="95" spans="1:8" x14ac:dyDescent="0.35">
      <c r="A95" t="s">
        <v>19</v>
      </c>
      <c r="B95" t="s">
        <v>93</v>
      </c>
      <c r="C95" t="s">
        <v>10</v>
      </c>
      <c r="D95" t="s">
        <v>34</v>
      </c>
      <c r="E95" t="s">
        <v>12</v>
      </c>
      <c r="F95">
        <v>55.93</v>
      </c>
      <c r="G95">
        <v>600</v>
      </c>
      <c r="H95">
        <v>33558</v>
      </c>
    </row>
    <row r="96" spans="1:8" x14ac:dyDescent="0.35">
      <c r="A96" t="s">
        <v>19</v>
      </c>
      <c r="B96" t="s">
        <v>39</v>
      </c>
      <c r="C96" t="s">
        <v>39</v>
      </c>
      <c r="D96" t="s">
        <v>39</v>
      </c>
      <c r="E96" t="s">
        <v>39</v>
      </c>
      <c r="F96">
        <v>0</v>
      </c>
      <c r="G96">
        <v>0</v>
      </c>
      <c r="H96">
        <v>0</v>
      </c>
    </row>
    <row r="97" spans="1:8" x14ac:dyDescent="0.35">
      <c r="A97" t="s">
        <v>19</v>
      </c>
      <c r="B97" t="s">
        <v>106</v>
      </c>
      <c r="C97" t="s">
        <v>10</v>
      </c>
      <c r="D97" t="s">
        <v>14</v>
      </c>
      <c r="E97" t="s">
        <v>43</v>
      </c>
      <c r="F97">
        <v>194.13</v>
      </c>
      <c r="G97">
        <v>0</v>
      </c>
      <c r="H97">
        <v>0</v>
      </c>
    </row>
    <row r="98" spans="1:8" x14ac:dyDescent="0.35">
      <c r="A98" t="s">
        <v>24</v>
      </c>
      <c r="B98" t="s">
        <v>107</v>
      </c>
      <c r="C98" t="s">
        <v>23</v>
      </c>
      <c r="D98" t="s">
        <v>48</v>
      </c>
      <c r="E98" t="s">
        <v>12</v>
      </c>
      <c r="F98">
        <v>22.79</v>
      </c>
      <c r="G98">
        <v>0</v>
      </c>
      <c r="H98">
        <v>0</v>
      </c>
    </row>
    <row r="99" spans="1:8" x14ac:dyDescent="0.35">
      <c r="A99" t="s">
        <v>8</v>
      </c>
      <c r="B99" t="s">
        <v>89</v>
      </c>
      <c r="C99" t="s">
        <v>10</v>
      </c>
      <c r="D99" t="s">
        <v>14</v>
      </c>
      <c r="E99" t="s">
        <v>43</v>
      </c>
      <c r="F99">
        <v>151.22999999999999</v>
      </c>
      <c r="G99">
        <v>0</v>
      </c>
      <c r="H99">
        <v>0</v>
      </c>
    </row>
    <row r="100" spans="1:8" x14ac:dyDescent="0.35">
      <c r="A100" t="s">
        <v>8</v>
      </c>
      <c r="B100" t="s">
        <v>90</v>
      </c>
      <c r="C100" t="s">
        <v>10</v>
      </c>
      <c r="D100" t="s">
        <v>18</v>
      </c>
      <c r="E100" t="s">
        <v>15</v>
      </c>
      <c r="F100">
        <v>214.9</v>
      </c>
      <c r="G100">
        <v>0</v>
      </c>
      <c r="H100">
        <v>0</v>
      </c>
    </row>
    <row r="101" spans="1:8" x14ac:dyDescent="0.35">
      <c r="A101" t="s">
        <v>19</v>
      </c>
      <c r="B101" t="s">
        <v>74</v>
      </c>
      <c r="C101" t="s">
        <v>31</v>
      </c>
      <c r="D101" t="s">
        <v>48</v>
      </c>
      <c r="E101" t="s">
        <v>12</v>
      </c>
      <c r="F101">
        <v>35.454999999999998</v>
      </c>
      <c r="G101">
        <v>300</v>
      </c>
      <c r="H101">
        <v>10636.5</v>
      </c>
    </row>
    <row r="102" spans="1:8" x14ac:dyDescent="0.35">
      <c r="A102" t="s">
        <v>19</v>
      </c>
      <c r="B102" t="s">
        <v>55</v>
      </c>
      <c r="C102" t="s">
        <v>23</v>
      </c>
      <c r="D102" t="s">
        <v>45</v>
      </c>
      <c r="E102" t="s">
        <v>12</v>
      </c>
      <c r="F102">
        <v>65.58</v>
      </c>
      <c r="G102">
        <v>5</v>
      </c>
      <c r="H102">
        <v>327.9</v>
      </c>
    </row>
    <row r="103" spans="1:8" x14ac:dyDescent="0.35">
      <c r="A103" t="s">
        <v>8</v>
      </c>
      <c r="B103" t="s">
        <v>42</v>
      </c>
      <c r="C103" t="s">
        <v>10</v>
      </c>
      <c r="D103" t="s">
        <v>14</v>
      </c>
      <c r="E103" t="s">
        <v>43</v>
      </c>
      <c r="F103">
        <v>80.97</v>
      </c>
      <c r="G103">
        <v>200</v>
      </c>
      <c r="H103">
        <v>16194</v>
      </c>
    </row>
    <row r="104" spans="1:8" x14ac:dyDescent="0.35">
      <c r="A104" t="s">
        <v>19</v>
      </c>
      <c r="B104" t="s">
        <v>108</v>
      </c>
      <c r="C104" t="s">
        <v>23</v>
      </c>
      <c r="D104" t="s">
        <v>34</v>
      </c>
      <c r="E104" t="s">
        <v>12</v>
      </c>
      <c r="F104">
        <v>26.05</v>
      </c>
      <c r="G104">
        <v>0</v>
      </c>
      <c r="H104">
        <v>0</v>
      </c>
    </row>
    <row r="105" spans="1:8" x14ac:dyDescent="0.35">
      <c r="A105" t="s">
        <v>19</v>
      </c>
      <c r="B105" t="s">
        <v>88</v>
      </c>
      <c r="C105" t="s">
        <v>23</v>
      </c>
      <c r="D105" t="s">
        <v>14</v>
      </c>
      <c r="E105" t="s">
        <v>43</v>
      </c>
      <c r="F105">
        <v>20.3</v>
      </c>
      <c r="G105">
        <v>0</v>
      </c>
      <c r="H105">
        <v>0</v>
      </c>
    </row>
    <row r="106" spans="1:8" x14ac:dyDescent="0.35">
      <c r="A106" t="s">
        <v>8</v>
      </c>
      <c r="B106" t="s">
        <v>100</v>
      </c>
      <c r="C106" t="s">
        <v>10</v>
      </c>
      <c r="D106" t="s">
        <v>59</v>
      </c>
      <c r="E106" t="s">
        <v>12</v>
      </c>
      <c r="F106">
        <v>61.08</v>
      </c>
      <c r="G106">
        <v>0</v>
      </c>
      <c r="H106">
        <v>0</v>
      </c>
    </row>
    <row r="107" spans="1:8" x14ac:dyDescent="0.35">
      <c r="A107" t="s">
        <v>19</v>
      </c>
      <c r="B107" t="s">
        <v>62</v>
      </c>
      <c r="C107" t="s">
        <v>10</v>
      </c>
      <c r="D107" t="s">
        <v>14</v>
      </c>
      <c r="E107" t="s">
        <v>43</v>
      </c>
      <c r="F107">
        <v>225.1</v>
      </c>
      <c r="G107">
        <v>0</v>
      </c>
      <c r="H107">
        <v>0</v>
      </c>
    </row>
    <row r="108" spans="1:8" x14ac:dyDescent="0.35">
      <c r="A108" t="s">
        <v>19</v>
      </c>
      <c r="B108" t="s">
        <v>98</v>
      </c>
      <c r="C108" t="s">
        <v>10</v>
      </c>
      <c r="D108" t="s">
        <v>29</v>
      </c>
      <c r="E108" t="s">
        <v>12</v>
      </c>
      <c r="F108">
        <v>69.87</v>
      </c>
      <c r="G108">
        <v>0</v>
      </c>
      <c r="H108">
        <v>0</v>
      </c>
    </row>
    <row r="109" spans="1:8" x14ac:dyDescent="0.35">
      <c r="A109" t="s">
        <v>24</v>
      </c>
      <c r="B109" t="s">
        <v>109</v>
      </c>
      <c r="C109" t="s">
        <v>23</v>
      </c>
      <c r="D109" t="s">
        <v>14</v>
      </c>
      <c r="E109" t="s">
        <v>43</v>
      </c>
      <c r="F109">
        <v>52.72</v>
      </c>
      <c r="G109">
        <v>10</v>
      </c>
      <c r="H109">
        <v>527.20000000000005</v>
      </c>
    </row>
    <row r="110" spans="1:8" x14ac:dyDescent="0.35">
      <c r="A110" t="s">
        <v>19</v>
      </c>
      <c r="B110" t="s">
        <v>110</v>
      </c>
      <c r="C110" t="s">
        <v>23</v>
      </c>
      <c r="D110" t="s">
        <v>21</v>
      </c>
      <c r="E110" t="s">
        <v>12</v>
      </c>
      <c r="F110">
        <v>31</v>
      </c>
      <c r="G110">
        <v>210</v>
      </c>
      <c r="H110">
        <v>6510</v>
      </c>
    </row>
    <row r="111" spans="1:8" x14ac:dyDescent="0.35">
      <c r="A111" t="s">
        <v>19</v>
      </c>
      <c r="B111" t="s">
        <v>65</v>
      </c>
      <c r="C111" t="s">
        <v>23</v>
      </c>
      <c r="D111" t="s">
        <v>34</v>
      </c>
      <c r="E111" t="s">
        <v>12</v>
      </c>
      <c r="F111">
        <v>19.14</v>
      </c>
      <c r="G111">
        <v>0</v>
      </c>
      <c r="H111">
        <v>0</v>
      </c>
    </row>
    <row r="112" spans="1:8" x14ac:dyDescent="0.35">
      <c r="A112" t="s">
        <v>24</v>
      </c>
      <c r="B112" t="s">
        <v>111</v>
      </c>
      <c r="C112" t="s">
        <v>23</v>
      </c>
      <c r="D112" t="s">
        <v>84</v>
      </c>
      <c r="E112" t="s">
        <v>12</v>
      </c>
      <c r="F112">
        <v>3.952</v>
      </c>
      <c r="G112">
        <v>30</v>
      </c>
      <c r="H112">
        <v>118.56</v>
      </c>
    </row>
    <row r="113" spans="1:8" x14ac:dyDescent="0.35">
      <c r="A113" t="s">
        <v>8</v>
      </c>
      <c r="B113" t="s">
        <v>112</v>
      </c>
      <c r="C113" t="s">
        <v>31</v>
      </c>
      <c r="D113" t="s">
        <v>59</v>
      </c>
      <c r="E113" t="s">
        <v>12</v>
      </c>
      <c r="F113">
        <v>43.73</v>
      </c>
      <c r="G113">
        <v>0</v>
      </c>
      <c r="H113">
        <v>0</v>
      </c>
    </row>
    <row r="114" spans="1:8" x14ac:dyDescent="0.35">
      <c r="A114" t="s">
        <v>16</v>
      </c>
      <c r="B114" t="s">
        <v>113</v>
      </c>
      <c r="C114" t="s">
        <v>10</v>
      </c>
      <c r="D114" t="s">
        <v>27</v>
      </c>
      <c r="E114" t="s">
        <v>12</v>
      </c>
      <c r="F114">
        <v>255</v>
      </c>
      <c r="G114">
        <v>0</v>
      </c>
      <c r="H114">
        <v>0</v>
      </c>
    </row>
    <row r="115" spans="1:8" x14ac:dyDescent="0.35">
      <c r="A115" t="s">
        <v>8</v>
      </c>
      <c r="B115" t="s">
        <v>81</v>
      </c>
      <c r="C115" t="s">
        <v>10</v>
      </c>
      <c r="D115" t="s">
        <v>14</v>
      </c>
      <c r="E115" t="s">
        <v>43</v>
      </c>
      <c r="F115">
        <v>89.06</v>
      </c>
      <c r="G115">
        <v>100</v>
      </c>
      <c r="H115">
        <v>8906</v>
      </c>
    </row>
    <row r="116" spans="1:8" x14ac:dyDescent="0.35">
      <c r="A116" t="s">
        <v>8</v>
      </c>
      <c r="B116" t="s">
        <v>114</v>
      </c>
      <c r="C116" t="s">
        <v>10</v>
      </c>
      <c r="D116" t="s">
        <v>48</v>
      </c>
      <c r="E116" t="s">
        <v>12</v>
      </c>
      <c r="F116">
        <v>105.04</v>
      </c>
      <c r="G116">
        <v>0</v>
      </c>
      <c r="H116">
        <v>0</v>
      </c>
    </row>
    <row r="117" spans="1:8" x14ac:dyDescent="0.35">
      <c r="A117" t="s">
        <v>16</v>
      </c>
      <c r="B117" t="s">
        <v>115</v>
      </c>
      <c r="C117" t="s">
        <v>23</v>
      </c>
      <c r="D117" t="s">
        <v>18</v>
      </c>
      <c r="E117" t="s">
        <v>15</v>
      </c>
      <c r="F117">
        <v>515.4</v>
      </c>
      <c r="G117">
        <v>0</v>
      </c>
      <c r="H117">
        <v>0</v>
      </c>
    </row>
    <row r="118" spans="1:8" x14ac:dyDescent="0.35">
      <c r="A118" t="s">
        <v>19</v>
      </c>
      <c r="B118" t="s">
        <v>114</v>
      </c>
      <c r="C118" t="s">
        <v>10</v>
      </c>
      <c r="D118" t="s">
        <v>48</v>
      </c>
      <c r="E118" t="s">
        <v>12</v>
      </c>
      <c r="F118">
        <v>105.04</v>
      </c>
      <c r="G118">
        <v>0</v>
      </c>
      <c r="H118">
        <v>0</v>
      </c>
    </row>
    <row r="119" spans="1:8" x14ac:dyDescent="0.35">
      <c r="A119" t="s">
        <v>19</v>
      </c>
      <c r="B119" t="s">
        <v>107</v>
      </c>
      <c r="C119" t="s">
        <v>23</v>
      </c>
      <c r="D119" t="s">
        <v>48</v>
      </c>
      <c r="E119" t="s">
        <v>12</v>
      </c>
      <c r="F119">
        <v>22.79</v>
      </c>
      <c r="G119">
        <v>0</v>
      </c>
      <c r="H119">
        <v>0</v>
      </c>
    </row>
    <row r="120" spans="1:8" x14ac:dyDescent="0.35">
      <c r="A120" t="s">
        <v>16</v>
      </c>
      <c r="B120" t="s">
        <v>116</v>
      </c>
      <c r="C120" t="s">
        <v>10</v>
      </c>
      <c r="D120" t="s">
        <v>50</v>
      </c>
      <c r="E120" t="s">
        <v>12</v>
      </c>
      <c r="F120">
        <v>34.44</v>
      </c>
      <c r="G120">
        <v>0</v>
      </c>
      <c r="H120">
        <v>0</v>
      </c>
    </row>
    <row r="121" spans="1:8" x14ac:dyDescent="0.35">
      <c r="A121" t="s">
        <v>19</v>
      </c>
      <c r="B121" t="s">
        <v>117</v>
      </c>
      <c r="C121" t="s">
        <v>10</v>
      </c>
      <c r="D121" t="s">
        <v>14</v>
      </c>
      <c r="E121" t="s">
        <v>15</v>
      </c>
      <c r="F121">
        <v>232.14</v>
      </c>
      <c r="G121">
        <v>0</v>
      </c>
      <c r="H121">
        <v>0</v>
      </c>
    </row>
    <row r="122" spans="1:8" x14ac:dyDescent="0.35">
      <c r="A122" t="s">
        <v>8</v>
      </c>
      <c r="B122" t="s">
        <v>118</v>
      </c>
      <c r="C122" t="s">
        <v>10</v>
      </c>
      <c r="D122" t="s">
        <v>50</v>
      </c>
      <c r="E122" t="s">
        <v>43</v>
      </c>
      <c r="F122">
        <v>36.979999999999997</v>
      </c>
      <c r="G122">
        <v>-60</v>
      </c>
      <c r="H122">
        <v>-2218.8000000000002</v>
      </c>
    </row>
    <row r="123" spans="1:8" x14ac:dyDescent="0.35">
      <c r="A123" t="s">
        <v>19</v>
      </c>
      <c r="B123" t="s">
        <v>104</v>
      </c>
      <c r="C123" t="s">
        <v>31</v>
      </c>
      <c r="D123" t="s">
        <v>32</v>
      </c>
      <c r="E123" t="s">
        <v>12</v>
      </c>
      <c r="F123">
        <v>92.86</v>
      </c>
      <c r="G123">
        <v>0</v>
      </c>
      <c r="H123">
        <v>0</v>
      </c>
    </row>
    <row r="124" spans="1:8" x14ac:dyDescent="0.35">
      <c r="A124" t="s">
        <v>19</v>
      </c>
      <c r="B124" t="s">
        <v>41</v>
      </c>
      <c r="C124" t="s">
        <v>23</v>
      </c>
      <c r="D124" t="s">
        <v>29</v>
      </c>
      <c r="E124" t="s">
        <v>12</v>
      </c>
      <c r="F124">
        <v>31.27</v>
      </c>
      <c r="G124">
        <v>0</v>
      </c>
      <c r="H124">
        <v>0</v>
      </c>
    </row>
    <row r="125" spans="1:8" x14ac:dyDescent="0.35">
      <c r="A125" t="s">
        <v>8</v>
      </c>
      <c r="B125" t="s">
        <v>119</v>
      </c>
      <c r="C125" t="s">
        <v>10</v>
      </c>
      <c r="D125" t="s">
        <v>29</v>
      </c>
      <c r="E125" t="s">
        <v>12</v>
      </c>
      <c r="F125">
        <v>143.18</v>
      </c>
      <c r="G125">
        <v>100</v>
      </c>
      <c r="H125">
        <v>14318</v>
      </c>
    </row>
    <row r="126" spans="1:8" x14ac:dyDescent="0.35">
      <c r="A126" t="s">
        <v>19</v>
      </c>
      <c r="B126" t="s">
        <v>66</v>
      </c>
      <c r="C126" t="s">
        <v>10</v>
      </c>
      <c r="D126" t="s">
        <v>59</v>
      </c>
      <c r="E126" t="s">
        <v>12</v>
      </c>
      <c r="F126">
        <v>15.48</v>
      </c>
      <c r="G126">
        <v>0</v>
      </c>
      <c r="H126">
        <v>0</v>
      </c>
    </row>
    <row r="127" spans="1:8" x14ac:dyDescent="0.35">
      <c r="A127" t="s">
        <v>19</v>
      </c>
      <c r="B127" t="s">
        <v>73</v>
      </c>
      <c r="C127" t="s">
        <v>23</v>
      </c>
      <c r="D127" t="s">
        <v>59</v>
      </c>
      <c r="E127" t="s">
        <v>12</v>
      </c>
      <c r="F127">
        <v>38.26</v>
      </c>
      <c r="G127">
        <v>6</v>
      </c>
      <c r="H127">
        <v>229.56</v>
      </c>
    </row>
    <row r="128" spans="1:8" x14ac:dyDescent="0.35">
      <c r="A128" t="s">
        <v>19</v>
      </c>
      <c r="B128" t="s">
        <v>92</v>
      </c>
      <c r="C128" t="s">
        <v>10</v>
      </c>
      <c r="D128" t="s">
        <v>32</v>
      </c>
      <c r="E128" t="s">
        <v>12</v>
      </c>
      <c r="F128">
        <v>18.43</v>
      </c>
      <c r="G128">
        <v>0</v>
      </c>
      <c r="H128">
        <v>0</v>
      </c>
    </row>
    <row r="129" spans="1:8" x14ac:dyDescent="0.35">
      <c r="A129" t="s">
        <v>19</v>
      </c>
      <c r="B129" t="s">
        <v>120</v>
      </c>
      <c r="C129" t="s">
        <v>31</v>
      </c>
      <c r="D129" t="s">
        <v>18</v>
      </c>
      <c r="E129" t="s">
        <v>15</v>
      </c>
      <c r="F129">
        <v>36.67</v>
      </c>
      <c r="G129">
        <v>0</v>
      </c>
      <c r="H129">
        <v>0</v>
      </c>
    </row>
    <row r="130" spans="1:8" x14ac:dyDescent="0.35">
      <c r="A130" t="s">
        <v>16</v>
      </c>
      <c r="B130" t="s">
        <v>121</v>
      </c>
      <c r="C130" t="s">
        <v>23</v>
      </c>
      <c r="D130" t="s">
        <v>18</v>
      </c>
      <c r="E130" t="s">
        <v>15</v>
      </c>
      <c r="F130">
        <v>903.2</v>
      </c>
      <c r="G130">
        <v>0</v>
      </c>
      <c r="H130">
        <v>0</v>
      </c>
    </row>
    <row r="131" spans="1:8" x14ac:dyDescent="0.35">
      <c r="A131" t="s">
        <v>24</v>
      </c>
      <c r="B131" t="s">
        <v>122</v>
      </c>
      <c r="C131" t="s">
        <v>23</v>
      </c>
      <c r="D131" t="s">
        <v>45</v>
      </c>
      <c r="E131" t="s">
        <v>12</v>
      </c>
      <c r="F131">
        <v>60.7</v>
      </c>
      <c r="G131">
        <v>7</v>
      </c>
      <c r="H131">
        <v>424.9</v>
      </c>
    </row>
    <row r="132" spans="1:8" x14ac:dyDescent="0.35">
      <c r="A132" t="s">
        <v>19</v>
      </c>
      <c r="B132" t="s">
        <v>123</v>
      </c>
      <c r="C132" t="s">
        <v>10</v>
      </c>
      <c r="D132" t="s">
        <v>21</v>
      </c>
      <c r="E132" t="s">
        <v>43</v>
      </c>
      <c r="F132">
        <v>93.41</v>
      </c>
      <c r="G132">
        <v>100</v>
      </c>
      <c r="H132">
        <v>9341</v>
      </c>
    </row>
    <row r="133" spans="1:8" x14ac:dyDescent="0.35">
      <c r="A133" t="s">
        <v>24</v>
      </c>
      <c r="B133" t="s">
        <v>49</v>
      </c>
      <c r="C133" t="s">
        <v>23</v>
      </c>
      <c r="D133" t="s">
        <v>50</v>
      </c>
      <c r="E133" t="s">
        <v>12</v>
      </c>
      <c r="F133">
        <v>23.925000000000001</v>
      </c>
      <c r="G133">
        <v>196</v>
      </c>
      <c r="H133">
        <v>4689.3</v>
      </c>
    </row>
    <row r="134" spans="1:8" x14ac:dyDescent="0.35">
      <c r="A134" t="s">
        <v>19</v>
      </c>
      <c r="B134" t="s">
        <v>105</v>
      </c>
      <c r="C134" t="s">
        <v>23</v>
      </c>
      <c r="D134" t="s">
        <v>29</v>
      </c>
      <c r="E134" t="s">
        <v>12</v>
      </c>
      <c r="F134">
        <v>34.78</v>
      </c>
      <c r="G134">
        <v>303</v>
      </c>
      <c r="H134">
        <v>10538.34</v>
      </c>
    </row>
    <row r="135" spans="1:8" x14ac:dyDescent="0.35">
      <c r="A135" t="s">
        <v>8</v>
      </c>
      <c r="B135" t="s">
        <v>106</v>
      </c>
      <c r="C135" t="s">
        <v>10</v>
      </c>
      <c r="D135" t="s">
        <v>14</v>
      </c>
      <c r="E135" t="s">
        <v>43</v>
      </c>
      <c r="F135">
        <v>194.13</v>
      </c>
      <c r="G135">
        <v>0</v>
      </c>
      <c r="H135">
        <v>0</v>
      </c>
    </row>
    <row r="136" spans="1:8" x14ac:dyDescent="0.35">
      <c r="A136" t="s">
        <v>19</v>
      </c>
      <c r="B136" t="s">
        <v>109</v>
      </c>
      <c r="C136" t="s">
        <v>23</v>
      </c>
      <c r="D136" t="s">
        <v>14</v>
      </c>
      <c r="E136" t="s">
        <v>43</v>
      </c>
      <c r="F136">
        <v>52.72</v>
      </c>
      <c r="G136">
        <v>0</v>
      </c>
      <c r="H136">
        <v>0</v>
      </c>
    </row>
    <row r="137" spans="1:8" x14ac:dyDescent="0.35">
      <c r="A137" t="s">
        <v>24</v>
      </c>
      <c r="B137" t="s">
        <v>110</v>
      </c>
      <c r="C137" t="s">
        <v>23</v>
      </c>
      <c r="D137" t="s">
        <v>21</v>
      </c>
      <c r="E137" t="s">
        <v>12</v>
      </c>
      <c r="F137">
        <v>31</v>
      </c>
      <c r="G137">
        <v>467</v>
      </c>
      <c r="H137">
        <v>14477</v>
      </c>
    </row>
    <row r="138" spans="1:8" x14ac:dyDescent="0.35">
      <c r="A138" t="s">
        <v>16</v>
      </c>
      <c r="B138" t="s">
        <v>124</v>
      </c>
      <c r="C138" t="s">
        <v>79</v>
      </c>
      <c r="D138" t="s">
        <v>50</v>
      </c>
      <c r="E138" t="s">
        <v>12</v>
      </c>
      <c r="F138">
        <v>80.61</v>
      </c>
      <c r="G138">
        <v>0</v>
      </c>
      <c r="H138">
        <v>0</v>
      </c>
    </row>
    <row r="139" spans="1:8" x14ac:dyDescent="0.35">
      <c r="A139" t="s">
        <v>8</v>
      </c>
      <c r="B139" t="s">
        <v>68</v>
      </c>
      <c r="C139" t="s">
        <v>10</v>
      </c>
      <c r="D139" t="s">
        <v>59</v>
      </c>
      <c r="E139" t="s">
        <v>12</v>
      </c>
      <c r="F139">
        <v>13.21</v>
      </c>
      <c r="G139">
        <v>0</v>
      </c>
      <c r="H139">
        <v>0</v>
      </c>
    </row>
    <row r="140" spans="1:8" x14ac:dyDescent="0.35">
      <c r="A140" t="s">
        <v>16</v>
      </c>
      <c r="B140" t="s">
        <v>125</v>
      </c>
      <c r="C140" t="s">
        <v>10</v>
      </c>
      <c r="D140" t="s">
        <v>21</v>
      </c>
      <c r="E140" t="s">
        <v>12</v>
      </c>
      <c r="F140">
        <v>40.1</v>
      </c>
      <c r="G140">
        <v>0</v>
      </c>
      <c r="H140">
        <v>0</v>
      </c>
    </row>
    <row r="141" spans="1:8" x14ac:dyDescent="0.35">
      <c r="A141" t="s">
        <v>19</v>
      </c>
      <c r="B141" t="s">
        <v>83</v>
      </c>
      <c r="C141" t="s">
        <v>10</v>
      </c>
      <c r="D141" t="s">
        <v>84</v>
      </c>
      <c r="E141" t="s">
        <v>12</v>
      </c>
      <c r="F141">
        <v>39.92</v>
      </c>
      <c r="G141">
        <v>0</v>
      </c>
      <c r="H141">
        <v>0</v>
      </c>
    </row>
    <row r="142" spans="1:8" x14ac:dyDescent="0.35">
      <c r="A142" t="s">
        <v>8</v>
      </c>
      <c r="B142" t="s">
        <v>123</v>
      </c>
      <c r="C142" t="s">
        <v>10</v>
      </c>
      <c r="D142" t="s">
        <v>21</v>
      </c>
      <c r="E142" t="s">
        <v>43</v>
      </c>
      <c r="F142">
        <v>93.41</v>
      </c>
      <c r="G142">
        <v>100</v>
      </c>
      <c r="H142">
        <v>9341</v>
      </c>
    </row>
    <row r="143" spans="1:8" x14ac:dyDescent="0.35">
      <c r="A143" t="s">
        <v>16</v>
      </c>
      <c r="B143" t="s">
        <v>126</v>
      </c>
      <c r="C143" t="s">
        <v>10</v>
      </c>
      <c r="D143" t="s">
        <v>14</v>
      </c>
      <c r="E143" t="s">
        <v>43</v>
      </c>
      <c r="F143">
        <v>728.45</v>
      </c>
      <c r="G143">
        <v>0</v>
      </c>
      <c r="H143">
        <v>0</v>
      </c>
    </row>
    <row r="144" spans="1:8" x14ac:dyDescent="0.35">
      <c r="A144" t="s">
        <v>16</v>
      </c>
      <c r="B144" t="s">
        <v>127</v>
      </c>
      <c r="C144" t="s">
        <v>31</v>
      </c>
      <c r="D144" t="s">
        <v>45</v>
      </c>
      <c r="E144" t="s">
        <v>12</v>
      </c>
      <c r="F144">
        <v>390.4</v>
      </c>
      <c r="G144">
        <v>0</v>
      </c>
      <c r="H144">
        <v>0</v>
      </c>
    </row>
  </sheetData>
  <autoFilter ref="A1:H1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Onno Kievit</cp:lastModifiedBy>
  <dcterms:created xsi:type="dcterms:W3CDTF">2025-12-25T14:34:53Z</dcterms:created>
  <dcterms:modified xsi:type="dcterms:W3CDTF">2025-12-26T21:23:46Z</dcterms:modified>
</cp:coreProperties>
</file>