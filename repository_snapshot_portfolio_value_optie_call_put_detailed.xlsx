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_coding\portefeuille_viewer\portefeuille_viewer_experiment_0.13\"/>
    </mc:Choice>
  </mc:AlternateContent>
  <xr:revisionPtr revIDLastSave="0" documentId="13_ncr:1_{71149643-675C-4DD2-A526-D45CE582632C}" xr6:coauthVersionLast="47" xr6:coauthVersionMax="47" xr10:uidLastSave="{00000000-0000-0000-0000-000000000000}"/>
  <bookViews>
    <workbookView xWindow="1380" yWindow="-110" windowWidth="37130" windowHeight="21820" activeTab="1" xr2:uid="{00000000-000D-0000-FFFF-FFFF00000000}"/>
  </bookViews>
  <sheets>
    <sheet name="Details1" sheetId="3" r:id="rId1"/>
    <sheet name="Blad1" sheetId="2" r:id="rId2"/>
    <sheet name="Sheet1" sheetId="1" r:id="rId3"/>
  </sheets>
  <definedNames>
    <definedName name="_xlnm._FilterDatabase" localSheetId="1" hidden="1">Blad1!$L$3:$O$15</definedName>
    <definedName name="_xlnm._FilterDatabase" localSheetId="2" hidden="1">Sheet1!$A$1:$R$100</definedName>
  </definedNames>
  <calcPr calcId="191029"/>
  <pivotCaches>
    <pivotCache cacheId="6" r:id="rId4"/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I5" i="2"/>
  <c r="I6" i="2"/>
  <c r="J6" i="2" s="1"/>
  <c r="I7" i="2"/>
  <c r="I8" i="2"/>
  <c r="I9" i="2"/>
  <c r="I10" i="2"/>
  <c r="I11" i="2"/>
  <c r="J11" i="2" s="1"/>
  <c r="I12" i="2"/>
  <c r="I13" i="2"/>
  <c r="I14" i="2"/>
  <c r="J14" i="2" s="1"/>
  <c r="I15" i="2"/>
  <c r="J15" i="2" s="1"/>
  <c r="I4" i="2"/>
  <c r="H5" i="2"/>
  <c r="H7" i="2"/>
  <c r="H8" i="2"/>
  <c r="J8" i="2" s="1"/>
  <c r="H9" i="2"/>
  <c r="J9" i="2" s="1"/>
  <c r="H10" i="2"/>
  <c r="H11" i="2"/>
  <c r="H12" i="2"/>
  <c r="H13" i="2"/>
  <c r="H14" i="2"/>
  <c r="H15" i="2"/>
  <c r="H4" i="2"/>
  <c r="J10" i="2" l="1"/>
  <c r="J5" i="2"/>
  <c r="J13" i="2"/>
  <c r="J12" i="2"/>
  <c r="J7" i="2"/>
</calcChain>
</file>

<file path=xl/sharedStrings.xml><?xml version="1.0" encoding="utf-8"?>
<sst xmlns="http://schemas.openxmlformats.org/spreadsheetml/2006/main" count="786" uniqueCount="108">
  <si>
    <t>broker</t>
  </si>
  <si>
    <t>asset_rollup</t>
  </si>
  <si>
    <t>Koers</t>
  </si>
  <si>
    <t>optie_call_put</t>
  </si>
  <si>
    <t>optie_strike</t>
  </si>
  <si>
    <t>optie_exp_date</t>
  </si>
  <si>
    <t>SomVantransactie_aantal</t>
  </si>
  <si>
    <t>ITM_OTM</t>
  </si>
  <si>
    <t>waarde_bezit</t>
  </si>
  <si>
    <t>waarde_ITM</t>
  </si>
  <si>
    <t>aantal_ITM</t>
  </si>
  <si>
    <t>waarde_OTM</t>
  </si>
  <si>
    <t>aantal_OTM</t>
  </si>
  <si>
    <t>delta</t>
  </si>
  <si>
    <t>waarde_bezit_delta</t>
  </si>
  <si>
    <t>regio</t>
  </si>
  <si>
    <t>sector</t>
  </si>
  <si>
    <t>value_grow</t>
  </si>
  <si>
    <t>degiro</t>
  </si>
  <si>
    <t>HEINEKEN</t>
  </si>
  <si>
    <t>call</t>
  </si>
  <si>
    <t>NL</t>
  </si>
  <si>
    <t>Cons Staples</t>
  </si>
  <si>
    <t>waarde</t>
  </si>
  <si>
    <t>lynx</t>
  </si>
  <si>
    <t>URW</t>
  </si>
  <si>
    <t>put</t>
  </si>
  <si>
    <t>Real Estate</t>
  </si>
  <si>
    <t>RAND</t>
  </si>
  <si>
    <t>interactive</t>
  </si>
  <si>
    <t>DANONE</t>
  </si>
  <si>
    <t>FR</t>
  </si>
  <si>
    <t>OKTA</t>
  </si>
  <si>
    <t>US</t>
  </si>
  <si>
    <t>Buss Tech Services</t>
  </si>
  <si>
    <t>groei</t>
  </si>
  <si>
    <t>XSP</t>
  </si>
  <si>
    <t>Index</t>
  </si>
  <si>
    <t>ASMI</t>
  </si>
  <si>
    <t>Inf Tech</t>
  </si>
  <si>
    <t>mixed</t>
  </si>
  <si>
    <t>INFINEON</t>
  </si>
  <si>
    <t>DE</t>
  </si>
  <si>
    <t>WKL</t>
  </si>
  <si>
    <t>CL</t>
  </si>
  <si>
    <t>UPS</t>
  </si>
  <si>
    <t>Industrials</t>
  </si>
  <si>
    <t>BMW</t>
  </si>
  <si>
    <t>Cons Discr</t>
  </si>
  <si>
    <t>ING</t>
  </si>
  <si>
    <t>Financials</t>
  </si>
  <si>
    <t>CAMECO</t>
  </si>
  <si>
    <t>Energy</t>
  </si>
  <si>
    <t>PROSUS</t>
  </si>
  <si>
    <t>BESI</t>
  </si>
  <si>
    <t>XND</t>
  </si>
  <si>
    <t>NEBIUS</t>
  </si>
  <si>
    <t>UBER</t>
  </si>
  <si>
    <t>AHOLD</t>
  </si>
  <si>
    <t>MT</t>
  </si>
  <si>
    <t>Basic Materials</t>
  </si>
  <si>
    <t>ASMLAEB</t>
  </si>
  <si>
    <t>RDSA</t>
  </si>
  <si>
    <t>UVXY</t>
  </si>
  <si>
    <t>UNH</t>
  </si>
  <si>
    <t>Medical</t>
  </si>
  <si>
    <t>VFC</t>
  </si>
  <si>
    <t>AEX</t>
  </si>
  <si>
    <t>NIKE</t>
  </si>
  <si>
    <t>ANET</t>
  </si>
  <si>
    <t>ROBINHOOD</t>
  </si>
  <si>
    <t>MAGNUM</t>
  </si>
  <si>
    <t>RELX</t>
  </si>
  <si>
    <t>INTEL</t>
  </si>
  <si>
    <t>O</t>
  </si>
  <si>
    <t>ASR</t>
  </si>
  <si>
    <t>Insurance</t>
  </si>
  <si>
    <t>VZ</t>
  </si>
  <si>
    <t>Communication Serv</t>
  </si>
  <si>
    <t>APPLOVIN</t>
  </si>
  <si>
    <t>UNILEVER</t>
  </si>
  <si>
    <t>KO</t>
  </si>
  <si>
    <t>ALLIANZ</t>
  </si>
  <si>
    <t>DHL</t>
  </si>
  <si>
    <t>BAYER</t>
  </si>
  <si>
    <t>BABA</t>
  </si>
  <si>
    <t>SNOW</t>
  </si>
  <si>
    <t>XLV</t>
  </si>
  <si>
    <t>ISRG</t>
  </si>
  <si>
    <t>VOLKSWAGEN</t>
  </si>
  <si>
    <t>ORACLE</t>
  </si>
  <si>
    <t>NN</t>
  </si>
  <si>
    <t>PLTR</t>
  </si>
  <si>
    <t>PG</t>
  </si>
  <si>
    <t>BHP</t>
  </si>
  <si>
    <t>BASF</t>
  </si>
  <si>
    <t>PANW</t>
  </si>
  <si>
    <t>BNP</t>
  </si>
  <si>
    <t>(leeg)</t>
  </si>
  <si>
    <t>Eindtotaal</t>
  </si>
  <si>
    <t>Rijlabels</t>
  </si>
  <si>
    <t>Som van waarde_bezit</t>
  </si>
  <si>
    <t>(Alle)</t>
  </si>
  <si>
    <t>Details voor Som van waarde_bezit - sector: Cons Staples, optie_call_put: put</t>
  </si>
  <si>
    <t>som2</t>
  </si>
  <si>
    <t>som3</t>
  </si>
  <si>
    <t>sort</t>
  </si>
  <si>
    <t>Som van waarde_ITM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</si>
</sst>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Standaard" xfId="0" builtinId="0"/>
  </cellStyles>
  <dxfs count="1"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epository_snapshot_portfolio_value_aandele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no Kievit" refreshedDate="46016.648518634262" createdVersion="8" refreshedVersion="8" minRefreshableVersion="3" recordCount="100" xr:uid="{9E89817A-6AF9-48C9-B74E-17ACB80308A6}">
  <cacheSource type="worksheet">
    <worksheetSource ref="A1:R1048576" sheet="Sheet1"/>
  </cacheSource>
  <cacheFields count="18">
    <cacheField name="broker" numFmtId="0">
      <sharedItems containsBlank="1"/>
    </cacheField>
    <cacheField name="asset_rollup" numFmtId="0">
      <sharedItems containsBlank="1"/>
    </cacheField>
    <cacheField name="Koers" numFmtId="0">
      <sharedItems containsString="0" containsBlank="1" containsNumber="1" minValue="13.31" maxValue="951"/>
    </cacheField>
    <cacheField name="optie_call_put" numFmtId="0">
      <sharedItems containsBlank="1" count="3">
        <s v="call"/>
        <s v="put"/>
        <m/>
      </sharedItems>
    </cacheField>
    <cacheField name="optie_strike" numFmtId="0">
      <sharedItems containsString="0" containsBlank="1" containsNumber="1" minValue="13.5" maxValue="935"/>
    </cacheField>
    <cacheField name="optie_exp_date" numFmtId="0">
      <sharedItems containsNonDate="0" containsDate="1" containsString="0" containsBlank="1" minDate="2025-12-26T00:00:00" maxDate="2026-03-21T00:00:00"/>
    </cacheField>
    <cacheField name="SomVantransactie_aantal" numFmtId="0">
      <sharedItems containsString="0" containsBlank="1" containsNumber="1" containsInteger="1" minValue="-1700" maxValue="1000"/>
    </cacheField>
    <cacheField name="ITM_OTM" numFmtId="0">
      <sharedItems containsString="0" containsBlank="1" containsNumber="1" minValue="-1519.9999999999991" maxValue="0"/>
    </cacheField>
    <cacheField name="waarde_bezit" numFmtId="0">
      <sharedItems containsString="0" containsBlank="1" containsNumber="1" containsInteger="1" minValue="-276000" maxValue="336000"/>
    </cacheField>
    <cacheField name="waarde_ITM" numFmtId="0">
      <sharedItems containsString="0" containsBlank="1" containsNumber="1" containsInteger="1" minValue="-18400" maxValue="34000"/>
    </cacheField>
    <cacheField name="aantal_ITM" numFmtId="0">
      <sharedItems containsString="0" containsBlank="1" containsNumber="1" containsInteger="1" minValue="-900" maxValue="-100"/>
    </cacheField>
    <cacheField name="waarde_OTM" numFmtId="0">
      <sharedItems containsString="0" containsBlank="1" containsNumber="1" containsInteger="1" minValue="-276000" maxValue="336000"/>
    </cacheField>
    <cacheField name="aantal_OTM" numFmtId="0">
      <sharedItems containsString="0" containsBlank="1" containsNumber="1" containsInteger="1" minValue="-1700" maxValue="1000"/>
    </cacheField>
    <cacheField name="delta" numFmtId="0">
      <sharedItems containsString="0" containsBlank="1" containsNumber="1" minValue="-0.75" maxValue="0.75"/>
    </cacheField>
    <cacheField name="waarde_bezit_delta" numFmtId="0">
      <sharedItems containsString="0" containsBlank="1" containsNumber="1" minValue="-71325" maxValue="95100"/>
    </cacheField>
    <cacheField name="regio" numFmtId="0">
      <sharedItems containsBlank="1"/>
    </cacheField>
    <cacheField name="sector" numFmtId="0">
      <sharedItems containsBlank="1" count="14">
        <s v="Cons Staples"/>
        <s v="Real Estate"/>
        <s v="Buss Tech Services"/>
        <s v="Index"/>
        <s v="Inf Tech"/>
        <s v="Industrials"/>
        <s v="Cons Discr"/>
        <s v="Financials"/>
        <s v="Energy"/>
        <s v="Basic Materials"/>
        <s v="Medical"/>
        <s v="Insurance"/>
        <s v="Communication Serv"/>
        <m/>
      </sharedItems>
    </cacheField>
    <cacheField name="value_gro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no Kievit" refreshedDate="46016.650587037038" createdVersion="8" refreshedVersion="8" minRefreshableVersion="3" recordCount="144" xr:uid="{896A29F7-C677-4F43-B627-0A3E1A643DBB}">
  <cacheSource type="worksheet">
    <worksheetSource ref="A1:H1048576" sheet="Sheet1" r:id="rId2"/>
  </cacheSource>
  <cacheFields count="8">
    <cacheField name="broker" numFmtId="0">
      <sharedItems containsBlank="1"/>
    </cacheField>
    <cacheField name="asset_rollup" numFmtId="0">
      <sharedItems containsBlank="1"/>
    </cacheField>
    <cacheField name="regio" numFmtId="0">
      <sharedItems containsBlank="1"/>
    </cacheField>
    <cacheField name="sector" numFmtId="0">
      <sharedItems containsBlank="1" count="15">
        <s v="Industrials"/>
        <s v="Buss Tech Services"/>
        <s v="Inf Tech"/>
        <s v="Energy"/>
        <s v="Index"/>
        <s v="Cons Staples"/>
        <s v="Cons Discr"/>
        <s v="Real Estate"/>
        <s v="CORRECTIE-BENCHMARK"/>
        <s v="Insurance"/>
        <s v="Medical"/>
        <s v="Financials"/>
        <s v="Basic Materials"/>
        <s v="Communication Serv"/>
        <m/>
      </sharedItems>
    </cacheField>
    <cacheField name="value_grow" numFmtId="0">
      <sharedItems containsBlank="1"/>
    </cacheField>
    <cacheField name="koers" numFmtId="0">
      <sharedItems containsString="0" containsBlank="1" containsNumber="1" minValue="0" maxValue="4218.9998999999998"/>
    </cacheField>
    <cacheField name="aantal_bezit" numFmtId="0">
      <sharedItems containsString="0" containsBlank="1" containsNumber="1" containsInteger="1" minValue="-60" maxValue="2800"/>
    </cacheField>
    <cacheField name="waarde_bezit" numFmtId="0">
      <sharedItems containsString="0" containsBlank="1" containsNumber="1" minValue="-2218.8000000000002" maxValue="51604" count="49">
        <n v="0"/>
        <n v="18532.2"/>
        <n v="4658"/>
        <n v="93.81"/>
        <n v="8097"/>
        <n v="12024"/>
        <n v="13656"/>
        <n v="18175"/>
        <n v="131.16"/>
        <n v="15636.12"/>
        <n v="114.84"/>
        <n v="18812"/>
        <n v="41377.300000000003"/>
        <n v="5609.54"/>
        <n v="1913"/>
        <n v="17727.5"/>
        <n v="292.82"/>
        <n v="3993"/>
        <n v="11736.8"/>
        <n v="15499"/>
        <n v="13981.4"/>
        <n v="8906"/>
        <n v="11976"/>
        <n v="591.4"/>
        <n v="5734"/>
        <n v="1450.9"/>
        <n v="51604"/>
        <n v="11186"/>
        <n v="13974"/>
        <n v="205.78"/>
        <n v="7993.0000000000009"/>
        <n v="185.72"/>
        <n v="208.68"/>
        <n v="33558"/>
        <n v="10636.5"/>
        <n v="327.9"/>
        <n v="16194"/>
        <n v="527.20000000000005"/>
        <n v="6510"/>
        <n v="118.56"/>
        <n v="-2218.8000000000002"/>
        <n v="14318"/>
        <n v="229.56"/>
        <n v="424.9"/>
        <n v="9341"/>
        <n v="4689.3"/>
        <n v="10538.34"/>
        <n v="1447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degiro"/>
    <s v="HEINEKEN"/>
    <n v="68.28"/>
    <x v="0"/>
    <n v="74"/>
    <d v="2026-01-16T00:00:00"/>
    <n v="-200"/>
    <n v="0"/>
    <n v="-14800"/>
    <m/>
    <m/>
    <n v="-14800"/>
    <n v="-200"/>
    <n v="0.25"/>
    <n v="-3414"/>
    <s v="NL"/>
    <x v="0"/>
    <s v="waarde"/>
  </r>
  <r>
    <s v="lynx"/>
    <s v="URW"/>
    <n v="92.2"/>
    <x v="1"/>
    <n v="91"/>
    <d v="2026-01-16T00:00:00"/>
    <n v="-100"/>
    <n v="0"/>
    <n v="9100"/>
    <m/>
    <m/>
    <n v="9100"/>
    <n v="-100"/>
    <n v="-0.5"/>
    <n v="4610"/>
    <s v="NL"/>
    <x v="1"/>
    <s v="waarde"/>
  </r>
  <r>
    <s v="lynx"/>
    <s v="RAND"/>
    <n v="31.27"/>
    <x v="1"/>
    <n v="32"/>
    <d v="2026-01-16T00:00:00"/>
    <n v="-200"/>
    <n v="-146.00000000000011"/>
    <n v="6400"/>
    <n v="6400"/>
    <n v="-200"/>
    <m/>
    <m/>
    <n v="-0.5"/>
    <n v="3127"/>
    <s v="NL"/>
    <x v="0"/>
    <s v="waarde"/>
  </r>
  <r>
    <s v="degiro"/>
    <s v="URW"/>
    <n v="92.2"/>
    <x v="1"/>
    <n v="90"/>
    <d v="2026-01-16T00:00:00"/>
    <n v="-100"/>
    <n v="0"/>
    <n v="9000"/>
    <m/>
    <m/>
    <n v="9000"/>
    <n v="-100"/>
    <n v="-0.5"/>
    <n v="4610"/>
    <s v="NL"/>
    <x v="1"/>
    <s v="waarde"/>
  </r>
  <r>
    <s v="interactive"/>
    <s v="DANONE"/>
    <n v="76.48"/>
    <x v="0"/>
    <n v="76"/>
    <d v="2026-01-16T00:00:00"/>
    <n v="-100"/>
    <n v="-48.000000000000398"/>
    <n v="-7600"/>
    <n v="-7600"/>
    <n v="-100"/>
    <m/>
    <m/>
    <n v="0.5"/>
    <n v="-3824"/>
    <s v="FR"/>
    <x v="0"/>
    <s v="waarde"/>
  </r>
  <r>
    <s v="lynx"/>
    <s v="OKTA"/>
    <n v="89.06"/>
    <x v="0"/>
    <n v="88"/>
    <d v="2026-01-02T00:00:00"/>
    <n v="-100"/>
    <n v="-106.0000000000002"/>
    <n v="-8800"/>
    <n v="-8800"/>
    <n v="-100"/>
    <m/>
    <m/>
    <n v="0.5"/>
    <n v="-4453"/>
    <s v="US"/>
    <x v="2"/>
    <s v="groei"/>
  </r>
  <r>
    <s v="interactive"/>
    <s v="XSP"/>
    <n v="684"/>
    <x v="1"/>
    <n v="600"/>
    <d v="2026-03-20T00:00:00"/>
    <n v="-100"/>
    <n v="0"/>
    <n v="60000"/>
    <m/>
    <m/>
    <n v="60000"/>
    <n v="-100"/>
    <n v="-0.25"/>
    <n v="17100"/>
    <s v="US"/>
    <x v="3"/>
    <s v="waarde"/>
  </r>
  <r>
    <s v="degiro"/>
    <s v="ASMI"/>
    <n v="515.4"/>
    <x v="1"/>
    <n v="500"/>
    <d v="2026-01-02T00:00:00"/>
    <n v="-100"/>
    <n v="0"/>
    <n v="50000"/>
    <m/>
    <m/>
    <n v="50000"/>
    <n v="-100"/>
    <n v="-0.25"/>
    <n v="12885"/>
    <s v="NL"/>
    <x v="4"/>
    <s v="mixed"/>
  </r>
  <r>
    <s v="interactive"/>
    <s v="INFINEON"/>
    <n v="36.67"/>
    <x v="1"/>
    <n v="34"/>
    <d v="2026-01-16T00:00:00"/>
    <n v="-200"/>
    <n v="0"/>
    <n v="6800"/>
    <m/>
    <m/>
    <n v="6800"/>
    <n v="-200"/>
    <n v="-0.25"/>
    <n v="1833.5"/>
    <s v="DE"/>
    <x v="4"/>
    <s v="mixed"/>
  </r>
  <r>
    <s v="lynx"/>
    <s v="WKL"/>
    <n v="88.24"/>
    <x v="1"/>
    <n v="90"/>
    <d v="2026-01-16T00:00:00"/>
    <n v="-100"/>
    <n v="-176.00000000000051"/>
    <n v="9000"/>
    <n v="9000"/>
    <n v="-100"/>
    <m/>
    <m/>
    <n v="-0.5"/>
    <n v="4412"/>
    <s v="NL"/>
    <x v="0"/>
    <s v="waarde"/>
  </r>
  <r>
    <s v="interactive"/>
    <s v="CL"/>
    <n v="79.930000000000007"/>
    <x v="0"/>
    <n v="80"/>
    <d v="2026-01-16T00:00:00"/>
    <n v="-100"/>
    <n v="0"/>
    <n v="-8000"/>
    <m/>
    <m/>
    <n v="-8000"/>
    <n v="-100"/>
    <n v="0.5"/>
    <n v="-3996.5"/>
    <s v="US"/>
    <x v="0"/>
    <s v="waarde"/>
  </r>
  <r>
    <s v="lynx"/>
    <s v="UPS"/>
    <n v="100.19"/>
    <x v="1"/>
    <n v="100"/>
    <d v="2025-12-26T00:00:00"/>
    <n v="-100"/>
    <n v="0"/>
    <n v="10000"/>
    <m/>
    <m/>
    <n v="10000"/>
    <n v="-100"/>
    <n v="-0.5"/>
    <n v="5009.5"/>
    <s v="US"/>
    <x v="5"/>
    <s v="waarde"/>
  </r>
  <r>
    <s v="degiro"/>
    <s v="BMW"/>
    <n v="92.86"/>
    <x v="1"/>
    <n v="90"/>
    <d v="2026-01-16T00:00:00"/>
    <n v="-300"/>
    <n v="0"/>
    <n v="27000"/>
    <m/>
    <m/>
    <n v="27000"/>
    <n v="-300"/>
    <n v="-0.25"/>
    <n v="6964.5"/>
    <s v="DE"/>
    <x v="6"/>
    <s v="waarde"/>
  </r>
  <r>
    <s v="degiro"/>
    <s v="ING"/>
    <n v="23.925000000000001"/>
    <x v="1"/>
    <n v="22.5"/>
    <d v="2026-01-16T00:00:00"/>
    <n v="-500"/>
    <n v="0"/>
    <n v="11250"/>
    <m/>
    <m/>
    <n v="11250"/>
    <n v="-500"/>
    <n v="-0.25"/>
    <n v="2990.625"/>
    <s v="NL"/>
    <x v="7"/>
    <s v="waarde"/>
  </r>
  <r>
    <s v="lynx"/>
    <s v="CAMECO"/>
    <n v="93.41"/>
    <x v="0"/>
    <n v="88"/>
    <d v="2025-12-26T00:00:00"/>
    <n v="-100"/>
    <n v="-540.99999999999966"/>
    <n v="-8800"/>
    <n v="-8800"/>
    <n v="-100"/>
    <m/>
    <m/>
    <n v="0.75"/>
    <n v="-7005.75"/>
    <s v="US"/>
    <x v="8"/>
    <s v="groei"/>
  </r>
  <r>
    <s v="lynx"/>
    <s v="PROSUS"/>
    <n v="52.72"/>
    <x v="1"/>
    <n v="56"/>
    <d v="2026-01-16T00:00:00"/>
    <n v="-200"/>
    <n v="-656.00000000000023"/>
    <n v="11200"/>
    <n v="11200"/>
    <n v="-200"/>
    <m/>
    <m/>
    <n v="-0.75"/>
    <n v="7908"/>
    <s v="NL"/>
    <x v="2"/>
    <s v="groei"/>
  </r>
  <r>
    <s v="degiro"/>
    <s v="BESI"/>
    <n v="131.9"/>
    <x v="0"/>
    <n v="135"/>
    <d v="2026-01-02T00:00:00"/>
    <n v="-100"/>
    <n v="0"/>
    <n v="-13500"/>
    <m/>
    <m/>
    <n v="-13500"/>
    <n v="-100"/>
    <n v="0.5"/>
    <n v="-6595"/>
    <s v="NL"/>
    <x v="4"/>
    <s v="mixed"/>
  </r>
  <r>
    <s v="interactive"/>
    <s v="INFINEON"/>
    <n v="36.67"/>
    <x v="1"/>
    <n v="35"/>
    <d v="2026-01-16T00:00:00"/>
    <n v="-200"/>
    <n v="0"/>
    <n v="7000"/>
    <m/>
    <m/>
    <n v="7000"/>
    <n v="-200"/>
    <n v="-0.25"/>
    <n v="1833.5"/>
    <s v="DE"/>
    <x v="4"/>
    <s v="mixed"/>
  </r>
  <r>
    <s v="interactive"/>
    <s v="XND"/>
    <n v="255"/>
    <x v="1"/>
    <n v="222"/>
    <d v="2026-03-20T00:00:00"/>
    <n v="-1000"/>
    <n v="0"/>
    <n v="222000"/>
    <m/>
    <m/>
    <n v="222000"/>
    <n v="-1000"/>
    <n v="-0.25"/>
    <n v="63750"/>
    <s v="US"/>
    <x v="3"/>
    <s v="waarde"/>
  </r>
  <r>
    <s v="interactive"/>
    <s v="NEBIUS"/>
    <n v="90.03"/>
    <x v="1"/>
    <n v="93"/>
    <d v="2025-12-26T00:00:00"/>
    <n v="-200"/>
    <n v="-593.99999999999977"/>
    <n v="18600"/>
    <n v="18600"/>
    <n v="-200"/>
    <m/>
    <m/>
    <n v="-0.25"/>
    <n v="4501.5"/>
    <s v="US"/>
    <x v="2"/>
    <s v="groei"/>
  </r>
  <r>
    <s v="degiro"/>
    <s v="PROSUS"/>
    <n v="52.72"/>
    <x v="1"/>
    <n v="56"/>
    <d v="2026-01-16T00:00:00"/>
    <n v="-100"/>
    <n v="-328.00000000000011"/>
    <n v="5600"/>
    <n v="5600"/>
    <n v="-100"/>
    <m/>
    <m/>
    <n v="-0.75"/>
    <n v="3954"/>
    <s v="NL"/>
    <x v="2"/>
    <s v="groei"/>
  </r>
  <r>
    <s v="interactive"/>
    <s v="UBER"/>
    <n v="80.97"/>
    <x v="0"/>
    <n v="85"/>
    <d v="2025-12-26T00:00:00"/>
    <n v="-200"/>
    <n v="0"/>
    <n v="-17000"/>
    <m/>
    <m/>
    <n v="-17000"/>
    <n v="-200"/>
    <n v="0.25"/>
    <n v="-4048.5"/>
    <s v="US"/>
    <x v="2"/>
    <s v="groei"/>
  </r>
  <r>
    <s v="degiro"/>
    <s v="BESI"/>
    <n v="131.9"/>
    <x v="0"/>
    <n v="145"/>
    <d v="2026-01-16T00:00:00"/>
    <n v="-100"/>
    <n v="0"/>
    <n v="-14500"/>
    <m/>
    <m/>
    <n v="-14500"/>
    <n v="-100"/>
    <n v="0.25"/>
    <n v="-3297.5"/>
    <s v="NL"/>
    <x v="4"/>
    <s v="mixed"/>
  </r>
  <r>
    <s v="interactive"/>
    <s v="OKTA"/>
    <n v="89.06"/>
    <x v="0"/>
    <n v="87.5"/>
    <d v="2026-01-16T00:00:00"/>
    <n v="-100"/>
    <n v="-156.0000000000002"/>
    <n v="-8750"/>
    <n v="-8750"/>
    <n v="-100"/>
    <m/>
    <m/>
    <n v="0.5"/>
    <n v="-4453"/>
    <s v="US"/>
    <x v="2"/>
    <s v="groei"/>
  </r>
  <r>
    <s v="lynx"/>
    <s v="AHOLD"/>
    <n v="34.520000000000003"/>
    <x v="1"/>
    <n v="35"/>
    <d v="2026-01-16T00:00:00"/>
    <n v="-300"/>
    <n v="-143.99999999999909"/>
    <n v="10500"/>
    <n v="10500"/>
    <n v="-300"/>
    <m/>
    <m/>
    <n v="-0.5"/>
    <n v="5178.0000000000009"/>
    <s v="NL"/>
    <x v="0"/>
    <s v="waarde"/>
  </r>
  <r>
    <s v="lynx"/>
    <s v="MT"/>
    <n v="38.26"/>
    <x v="1"/>
    <n v="35"/>
    <d v="2026-01-16T00:00:00"/>
    <n v="-100"/>
    <n v="0"/>
    <n v="3500"/>
    <m/>
    <m/>
    <n v="3500"/>
    <n v="-100"/>
    <n v="-0.25"/>
    <n v="956.5"/>
    <s v="NL"/>
    <x v="9"/>
    <s v="waarde"/>
  </r>
  <r>
    <s v="degiro"/>
    <s v="PROSUS"/>
    <n v="52.72"/>
    <x v="1"/>
    <n v="57"/>
    <d v="2026-01-16T00:00:00"/>
    <n v="-200"/>
    <n v="-856.00000000000023"/>
    <n v="11400"/>
    <n v="11400"/>
    <n v="-200"/>
    <m/>
    <m/>
    <n v="-0.75"/>
    <n v="7908"/>
    <s v="NL"/>
    <x v="2"/>
    <s v="groei"/>
  </r>
  <r>
    <s v="lynx"/>
    <s v="ASMLAEB"/>
    <n v="903.2"/>
    <x v="1"/>
    <n v="900"/>
    <d v="2026-01-02T00:00:00"/>
    <n v="-100"/>
    <n v="0"/>
    <n v="90000"/>
    <m/>
    <m/>
    <n v="90000"/>
    <n v="-100"/>
    <n v="-0.5"/>
    <n v="45160"/>
    <s v="NL"/>
    <x v="4"/>
    <s v="mixed"/>
  </r>
  <r>
    <s v="degiro"/>
    <s v="RDSA"/>
    <n v="31"/>
    <x v="0"/>
    <n v="32"/>
    <d v="2026-01-16T00:00:00"/>
    <n v="-400"/>
    <n v="0"/>
    <n v="-12800"/>
    <m/>
    <m/>
    <n v="-12800"/>
    <n v="-400"/>
    <n v="0.25"/>
    <n v="-3100"/>
    <s v="NL"/>
    <x v="8"/>
    <s v="waarde"/>
  </r>
  <r>
    <s v="interactive"/>
    <s v="UVXY"/>
    <n v="36.979999999999997"/>
    <x v="0"/>
    <n v="43"/>
    <d v="2026-01-16T00:00:00"/>
    <n v="-100"/>
    <n v="0"/>
    <n v="-4300"/>
    <m/>
    <m/>
    <n v="-4300"/>
    <n v="-100"/>
    <n v="0.1"/>
    <n v="-369.8"/>
    <s v="US"/>
    <x v="7"/>
    <s v="groei"/>
  </r>
  <r>
    <s v="lynx"/>
    <s v="MT"/>
    <n v="38.26"/>
    <x v="1"/>
    <n v="37"/>
    <d v="2026-01-16T00:00:00"/>
    <n v="-700"/>
    <n v="0"/>
    <n v="25900"/>
    <m/>
    <m/>
    <n v="25900"/>
    <n v="-700"/>
    <n v="-0.25"/>
    <n v="6695.5"/>
    <s v="NL"/>
    <x v="9"/>
    <s v="waarde"/>
  </r>
  <r>
    <s v="lynx"/>
    <s v="UNH"/>
    <n v="324.8"/>
    <x v="1"/>
    <n v="340"/>
    <d v="2026-01-02T00:00:00"/>
    <n v="-100"/>
    <n v="-1519.9999999999991"/>
    <n v="34000"/>
    <n v="34000"/>
    <n v="-100"/>
    <m/>
    <m/>
    <n v="-0.25"/>
    <n v="8120"/>
    <s v="US"/>
    <x v="10"/>
    <s v="waarde"/>
  </r>
  <r>
    <s v="interactive"/>
    <s v="VFC"/>
    <n v="18.43"/>
    <x v="0"/>
    <n v="19"/>
    <d v="2026-01-02T00:00:00"/>
    <n v="-1000"/>
    <n v="0"/>
    <n v="-19000"/>
    <m/>
    <m/>
    <n v="-19000"/>
    <n v="-1000"/>
    <n v="0.25"/>
    <n v="-4607.5"/>
    <s v="US"/>
    <x v="6"/>
    <s v="waarde"/>
  </r>
  <r>
    <s v="degiro"/>
    <s v="ING"/>
    <n v="23.925000000000001"/>
    <x v="0"/>
    <n v="23"/>
    <d v="2026-01-16T00:00:00"/>
    <n v="-200"/>
    <n v="-185.00000000000011"/>
    <n v="-4600"/>
    <n v="-4600"/>
    <n v="-200"/>
    <m/>
    <m/>
    <n v="0.25"/>
    <n v="-1196.25"/>
    <s v="NL"/>
    <x v="7"/>
    <s v="waarde"/>
  </r>
  <r>
    <s v="degiro"/>
    <s v="AEX"/>
    <n v="951"/>
    <x v="1"/>
    <n v="920"/>
    <d v="2026-03-20T00:00:00"/>
    <n v="300"/>
    <n v="0"/>
    <n v="-276000"/>
    <m/>
    <m/>
    <n v="-276000"/>
    <n v="300"/>
    <n v="-0.25"/>
    <n v="-71325"/>
    <s v="NL"/>
    <x v="3"/>
    <s v="waarde"/>
  </r>
  <r>
    <s v="interactive"/>
    <s v="NIKE"/>
    <n v="57.34"/>
    <x v="1"/>
    <n v="61"/>
    <d v="2026-01-02T00:00:00"/>
    <n v="-100"/>
    <n v="-365.99999999999972"/>
    <n v="6100"/>
    <n v="6100"/>
    <n v="-100"/>
    <m/>
    <m/>
    <n v="-0.75"/>
    <n v="4300.5"/>
    <s v="US"/>
    <x v="6"/>
    <s v="waarde"/>
  </r>
  <r>
    <s v="degiro"/>
    <s v="HEINEKEN"/>
    <n v="68.28"/>
    <x v="1"/>
    <n v="72"/>
    <d v="2026-01-16T00:00:00"/>
    <n v="-200"/>
    <n v="-743.99999999999977"/>
    <n v="14400"/>
    <n v="14400"/>
    <n v="-200"/>
    <m/>
    <m/>
    <n v="-0.75"/>
    <n v="10242"/>
    <s v="NL"/>
    <x v="0"/>
    <s v="waarde"/>
  </r>
  <r>
    <s v="lynx"/>
    <s v="ANET"/>
    <n v="131.32"/>
    <x v="1"/>
    <n v="127"/>
    <d v="2025-12-26T00:00:00"/>
    <n v="-100"/>
    <n v="0"/>
    <n v="12700"/>
    <m/>
    <m/>
    <n v="12700"/>
    <n v="-100"/>
    <n v="-0.25"/>
    <n v="3283"/>
    <s v="US"/>
    <x v="4"/>
    <s v="groei"/>
  </r>
  <r>
    <s v="interactive"/>
    <s v="ROBINHOOD"/>
    <n v="120.24"/>
    <x v="1"/>
    <n v="120"/>
    <d v="2025-12-26T00:00:00"/>
    <n v="-200"/>
    <n v="0"/>
    <n v="24000"/>
    <m/>
    <m/>
    <n v="24000"/>
    <n v="-200"/>
    <n v="-0.5"/>
    <n v="12024"/>
    <s v="US"/>
    <x v="2"/>
    <s v="groei"/>
  </r>
  <r>
    <s v="degiro"/>
    <s v="MAGNUM"/>
    <n v="13.31"/>
    <x v="0"/>
    <n v="13.5"/>
    <d v="2026-01-16T00:00:00"/>
    <n v="-300"/>
    <n v="0"/>
    <n v="-4050"/>
    <m/>
    <m/>
    <n v="-4050"/>
    <n v="-300"/>
    <n v="0.5"/>
    <n v="-1996.5"/>
    <s v="NL"/>
    <x v="0"/>
    <s v="waarde"/>
  </r>
  <r>
    <s v="lynx"/>
    <s v="BESI"/>
    <n v="131.9"/>
    <x v="1"/>
    <n v="125"/>
    <d v="2026-01-16T00:00:00"/>
    <n v="-100"/>
    <n v="0"/>
    <n v="12500"/>
    <m/>
    <m/>
    <n v="12500"/>
    <n v="-100"/>
    <n v="-0.25"/>
    <n v="3297.5"/>
    <s v="NL"/>
    <x v="4"/>
    <s v="mixed"/>
  </r>
  <r>
    <s v="lynx"/>
    <s v="RELX"/>
    <n v="34.78"/>
    <x v="0"/>
    <n v="36"/>
    <d v="2026-01-16T00:00:00"/>
    <n v="-300"/>
    <n v="0"/>
    <n v="-10800"/>
    <m/>
    <m/>
    <n v="-10800"/>
    <n v="-300"/>
    <n v="0.25"/>
    <n v="-2608.5"/>
    <s v="NL"/>
    <x v="0"/>
    <s v="waarde"/>
  </r>
  <r>
    <s v="interactive"/>
    <s v="INTEL"/>
    <n v="36.35"/>
    <x v="0"/>
    <n v="40"/>
    <d v="2026-01-16T00:00:00"/>
    <n v="-500"/>
    <n v="0"/>
    <n v="-20000"/>
    <m/>
    <m/>
    <n v="-20000"/>
    <n v="-500"/>
    <n v="0.25"/>
    <n v="-4543.75"/>
    <s v="US"/>
    <x v="4"/>
    <s v="mixed"/>
  </r>
  <r>
    <s v="degiro"/>
    <s v="AEX"/>
    <n v="951"/>
    <x v="1"/>
    <n v="820"/>
    <d v="2026-03-20T00:00:00"/>
    <n v="-300"/>
    <n v="0"/>
    <n v="246000"/>
    <m/>
    <m/>
    <n v="246000"/>
    <n v="-300"/>
    <n v="-0.25"/>
    <n v="71325"/>
    <s v="NL"/>
    <x v="3"/>
    <s v="waarde"/>
  </r>
  <r>
    <s v="interactive"/>
    <s v="O"/>
    <n v="55.93"/>
    <x v="1"/>
    <n v="57.5"/>
    <d v="2026-01-16T00:00:00"/>
    <n v="-100"/>
    <n v="-157"/>
    <n v="5750"/>
    <n v="5750"/>
    <n v="-100"/>
    <m/>
    <m/>
    <n v="-0.25"/>
    <n v="1398.25"/>
    <s v="US"/>
    <x v="1"/>
    <s v="waarde"/>
  </r>
  <r>
    <s v="degiro"/>
    <s v="ASR"/>
    <n v="60.7"/>
    <x v="1"/>
    <n v="59"/>
    <d v="2026-01-16T00:00:00"/>
    <n v="-200"/>
    <n v="0"/>
    <n v="11800"/>
    <m/>
    <m/>
    <n v="11800"/>
    <n v="-200"/>
    <n v="-0.25"/>
    <n v="3035"/>
    <s v="NL"/>
    <x v="11"/>
    <s v="waarde"/>
  </r>
  <r>
    <s v="interactive"/>
    <s v="VZ"/>
    <n v="39.92"/>
    <x v="0"/>
    <n v="42"/>
    <d v="2026-01-16T00:00:00"/>
    <n v="-300"/>
    <n v="0"/>
    <n v="-12600"/>
    <m/>
    <m/>
    <n v="-12600"/>
    <n v="-300"/>
    <n v="0.25"/>
    <n v="-2994"/>
    <s v="US"/>
    <x v="12"/>
    <s v="waarde"/>
  </r>
  <r>
    <s v="lynx"/>
    <s v="AHOLD"/>
    <n v="34.520000000000003"/>
    <x v="1"/>
    <n v="36"/>
    <d v="2026-01-16T00:00:00"/>
    <n v="-900"/>
    <n v="-1331.999999999997"/>
    <n v="32400"/>
    <n v="32400"/>
    <n v="-900"/>
    <m/>
    <m/>
    <n v="-0.25"/>
    <n v="7767.0000000000009"/>
    <s v="NL"/>
    <x v="0"/>
    <s v="waarde"/>
  </r>
  <r>
    <s v="interactive"/>
    <s v="ROBINHOOD"/>
    <n v="120.24"/>
    <x v="1"/>
    <n v="124"/>
    <d v="2025-12-26T00:00:00"/>
    <n v="-100"/>
    <n v="-376.00000000000051"/>
    <n v="12400"/>
    <n v="12400"/>
    <n v="-100"/>
    <m/>
    <m/>
    <n v="-0.25"/>
    <n v="3006"/>
    <s v="US"/>
    <x v="2"/>
    <s v="groei"/>
  </r>
  <r>
    <s v="interactive"/>
    <s v="UNH"/>
    <n v="324.8"/>
    <x v="1"/>
    <n v="340"/>
    <d v="2026-01-02T00:00:00"/>
    <n v="-100"/>
    <n v="-1519.9999999999991"/>
    <n v="34000"/>
    <n v="34000"/>
    <n v="-100"/>
    <m/>
    <m/>
    <n v="-0.25"/>
    <n v="8120"/>
    <s v="US"/>
    <x v="10"/>
    <s v="waarde"/>
  </r>
  <r>
    <s v="lynx"/>
    <s v="RDSA"/>
    <n v="31"/>
    <x v="1"/>
    <n v="32"/>
    <d v="2026-01-16T00:00:00"/>
    <n v="-500"/>
    <n v="-500"/>
    <n v="16000"/>
    <n v="16000"/>
    <n v="-500"/>
    <m/>
    <m/>
    <n v="-0.25"/>
    <n v="3875"/>
    <s v="NL"/>
    <x v="8"/>
    <s v="waarde"/>
  </r>
  <r>
    <s v="interactive"/>
    <s v="APPLOVIN"/>
    <n v="728.45"/>
    <x v="1"/>
    <n v="675"/>
    <d v="2026-01-09T00:00:00"/>
    <n v="-100"/>
    <n v="0"/>
    <n v="67500"/>
    <m/>
    <m/>
    <n v="67500"/>
    <n v="-100"/>
    <n v="-0.25"/>
    <n v="18211.25"/>
    <s v="US"/>
    <x v="2"/>
    <s v="groei"/>
  </r>
  <r>
    <s v="degiro"/>
    <s v="BESI"/>
    <n v="131.9"/>
    <x v="1"/>
    <n v="125"/>
    <d v="2026-01-16T00:00:00"/>
    <n v="-100"/>
    <n v="0"/>
    <n v="12500"/>
    <m/>
    <m/>
    <n v="12500"/>
    <n v="-100"/>
    <n v="-0.25"/>
    <n v="3297.5"/>
    <s v="NL"/>
    <x v="4"/>
    <s v="mixed"/>
  </r>
  <r>
    <s v="degiro"/>
    <s v="UNILEVER"/>
    <n v="55.54"/>
    <x v="0"/>
    <n v="57"/>
    <d v="2026-01-16T00:00:00"/>
    <n v="-800"/>
    <n v="0"/>
    <n v="-45600"/>
    <m/>
    <m/>
    <n v="-45600"/>
    <n v="-800"/>
    <n v="0.25"/>
    <n v="-11108"/>
    <s v="NL"/>
    <x v="0"/>
    <s v="waarde"/>
  </r>
  <r>
    <s v="interactive"/>
    <s v="KO"/>
    <n v="69.87"/>
    <x v="1"/>
    <n v="67.5"/>
    <d v="2026-01-16T00:00:00"/>
    <n v="-200"/>
    <n v="0"/>
    <n v="13500"/>
    <m/>
    <m/>
    <n v="13500"/>
    <n v="-200"/>
    <n v="-0.25"/>
    <n v="3493.5"/>
    <s v="US"/>
    <x v="0"/>
    <s v="waarde"/>
  </r>
  <r>
    <s v="interactive"/>
    <s v="ALLIANZ"/>
    <n v="390.4"/>
    <x v="1"/>
    <n v="370"/>
    <d v="2026-01-16T00:00:00"/>
    <n v="-100"/>
    <n v="0"/>
    <n v="37000"/>
    <m/>
    <m/>
    <n v="37000"/>
    <n v="-100"/>
    <n v="-0.25"/>
    <n v="9760"/>
    <s v="DE"/>
    <x v="11"/>
    <s v="waarde"/>
  </r>
  <r>
    <s v="interactive"/>
    <s v="DHL"/>
    <n v="46.58"/>
    <x v="0"/>
    <n v="42.5"/>
    <d v="2026-01-16T00:00:00"/>
    <n v="-100"/>
    <n v="-407.99999999999977"/>
    <n v="-4250"/>
    <n v="-4250"/>
    <n v="-100"/>
    <m/>
    <m/>
    <n v="0.75"/>
    <n v="-3493.5"/>
    <s v="DE"/>
    <x v="5"/>
    <s v="waarde"/>
  </r>
  <r>
    <s v="degiro"/>
    <s v="BAYER"/>
    <n v="35.454999999999998"/>
    <x v="1"/>
    <n v="35"/>
    <d v="2026-01-16T00:00:00"/>
    <n v="-100"/>
    <n v="0"/>
    <n v="3500"/>
    <m/>
    <m/>
    <n v="3500"/>
    <n v="-100"/>
    <n v="-0.5"/>
    <n v="1772.75"/>
    <s v="DE"/>
    <x v="10"/>
    <s v="waarde"/>
  </r>
  <r>
    <s v="interactive"/>
    <s v="BABA"/>
    <n v="151.22999999999999"/>
    <x v="1"/>
    <n v="155"/>
    <d v="2025-12-26T00:00:00"/>
    <n v="-100"/>
    <n v="-377.00000000000102"/>
    <n v="15500"/>
    <n v="15500"/>
    <n v="-100"/>
    <m/>
    <m/>
    <n v="-0.5"/>
    <n v="7561.4999999999991"/>
    <s v="US"/>
    <x v="2"/>
    <s v="groei"/>
  </r>
  <r>
    <s v="interactive"/>
    <s v="XND"/>
    <n v="255"/>
    <x v="1"/>
    <n v="240"/>
    <d v="2026-03-20T00:00:00"/>
    <n v="1000"/>
    <n v="0"/>
    <n v="-240000"/>
    <m/>
    <m/>
    <n v="-240000"/>
    <n v="1000"/>
    <n v="-0.25"/>
    <n v="-63750"/>
    <s v="US"/>
    <x v="3"/>
    <s v="waarde"/>
  </r>
  <r>
    <s v="lynx"/>
    <s v="AEX"/>
    <n v="951"/>
    <x v="1"/>
    <n v="900"/>
    <d v="2026-03-20T00:00:00"/>
    <n v="300"/>
    <n v="0"/>
    <n v="-270000"/>
    <m/>
    <m/>
    <n v="-270000"/>
    <n v="300"/>
    <n v="-0.25"/>
    <n v="-71325"/>
    <s v="NL"/>
    <x v="3"/>
    <s v="waarde"/>
  </r>
  <r>
    <s v="interactive"/>
    <s v="SNOW"/>
    <n v="225.1"/>
    <x v="1"/>
    <n v="222.5"/>
    <d v="2026-01-02T00:00:00"/>
    <n v="-100"/>
    <n v="0"/>
    <n v="22250"/>
    <m/>
    <m/>
    <n v="22250"/>
    <n v="-100"/>
    <n v="-0.5"/>
    <n v="11255"/>
    <s v="US"/>
    <x v="2"/>
    <s v="groei"/>
  </r>
  <r>
    <s v="degiro"/>
    <s v="WKL"/>
    <n v="88.24"/>
    <x v="0"/>
    <n v="98"/>
    <d v="2026-01-16T00:00:00"/>
    <n v="-100"/>
    <n v="0"/>
    <n v="-9800"/>
    <m/>
    <m/>
    <n v="-9800"/>
    <n v="-100"/>
    <n v="0.25"/>
    <n v="-2206"/>
    <s v="NL"/>
    <x v="0"/>
    <s v="waarde"/>
  </r>
  <r>
    <s v="interactive"/>
    <s v="XLV"/>
    <n v="154.99"/>
    <x v="0"/>
    <n v="154"/>
    <d v="2026-01-16T00:00:00"/>
    <n v="-100"/>
    <n v="-99.000000000000909"/>
    <n v="-15400"/>
    <n v="-15400"/>
    <n v="-100"/>
    <m/>
    <m/>
    <n v="0.5"/>
    <n v="-7749.5"/>
    <s v="US"/>
    <x v="10"/>
    <s v="waarde"/>
  </r>
  <r>
    <s v="lynx"/>
    <s v="AEX"/>
    <n v="951"/>
    <x v="1"/>
    <n v="935"/>
    <d v="2026-01-02T00:00:00"/>
    <n v="-100"/>
    <n v="0"/>
    <n v="93500"/>
    <m/>
    <m/>
    <n v="93500"/>
    <n v="-100"/>
    <n v="-0.5"/>
    <n v="47550"/>
    <s v="NL"/>
    <x v="3"/>
    <s v="waarde"/>
  </r>
  <r>
    <s v="lynx"/>
    <s v="AEX"/>
    <n v="951"/>
    <x v="1"/>
    <n v="840"/>
    <d v="2026-03-20T00:00:00"/>
    <n v="-400"/>
    <n v="0"/>
    <n v="336000"/>
    <m/>
    <m/>
    <n v="336000"/>
    <n v="-400"/>
    <n v="-0.25"/>
    <n v="95100"/>
    <s v="NL"/>
    <x v="3"/>
    <s v="waarde"/>
  </r>
  <r>
    <s v="lynx"/>
    <s v="BMW"/>
    <n v="92.86"/>
    <x v="1"/>
    <n v="95"/>
    <d v="2026-01-16T00:00:00"/>
    <n v="-200"/>
    <n v="-428.00000000000011"/>
    <n v="19000"/>
    <n v="19000"/>
    <n v="-200"/>
    <m/>
    <m/>
    <n v="-0.5"/>
    <n v="9286"/>
    <s v="DE"/>
    <x v="6"/>
    <s v="waarde"/>
  </r>
  <r>
    <s v="lynx"/>
    <s v="O"/>
    <n v="55.93"/>
    <x v="0"/>
    <n v="60"/>
    <d v="2026-01-16T00:00:00"/>
    <n v="-500"/>
    <n v="0"/>
    <n v="-30000"/>
    <m/>
    <m/>
    <n v="-30000"/>
    <n v="-500"/>
    <n v="0.25"/>
    <n v="-6991.25"/>
    <s v="US"/>
    <x v="1"/>
    <s v="waarde"/>
  </r>
  <r>
    <s v="lynx"/>
    <s v="RDSA"/>
    <n v="31"/>
    <x v="1"/>
    <n v="31"/>
    <d v="2026-01-16T00:00:00"/>
    <n v="-400"/>
    <n v="0"/>
    <n v="12400"/>
    <m/>
    <m/>
    <n v="12400"/>
    <n v="-400"/>
    <n v="-0.5"/>
    <n v="6200"/>
    <s v="NL"/>
    <x v="8"/>
    <s v="waarde"/>
  </r>
  <r>
    <s v="interactive"/>
    <s v="O"/>
    <n v="55.93"/>
    <x v="0"/>
    <n v="60"/>
    <d v="2026-01-16T00:00:00"/>
    <n v="-200"/>
    <n v="0"/>
    <n v="-12000"/>
    <m/>
    <m/>
    <n v="-12000"/>
    <n v="-200"/>
    <n v="0.25"/>
    <n v="-2796.5"/>
    <s v="US"/>
    <x v="1"/>
    <s v="waarde"/>
  </r>
  <r>
    <s v="interactive"/>
    <s v="DHL"/>
    <n v="46.58"/>
    <x v="1"/>
    <n v="47"/>
    <d v="2026-01-16T00:00:00"/>
    <n v="-300"/>
    <n v="-126.0000000000005"/>
    <n v="14100"/>
    <n v="14100"/>
    <n v="-300"/>
    <m/>
    <m/>
    <n v="-0.5"/>
    <n v="6987"/>
    <s v="DE"/>
    <x v="5"/>
    <s v="waarde"/>
  </r>
  <r>
    <s v="degiro"/>
    <s v="BAYER"/>
    <n v="35.454999999999998"/>
    <x v="0"/>
    <n v="36.5"/>
    <d v="2026-01-16T00:00:00"/>
    <n v="-20"/>
    <n v="0"/>
    <n v="-730"/>
    <m/>
    <m/>
    <n v="-730"/>
    <n v="-20"/>
    <n v="0.25"/>
    <n v="-177.27500000000001"/>
    <s v="DE"/>
    <x v="10"/>
    <s v="waarde"/>
  </r>
  <r>
    <s v="interactive"/>
    <s v="CAMECO"/>
    <n v="93.41"/>
    <x v="0"/>
    <n v="89"/>
    <d v="2026-01-02T00:00:00"/>
    <n v="-100"/>
    <n v="-440.99999999999972"/>
    <n v="-8900"/>
    <n v="-8900"/>
    <n v="-100"/>
    <m/>
    <m/>
    <n v="0.25"/>
    <n v="-2335.25"/>
    <s v="US"/>
    <x v="8"/>
    <s v="groei"/>
  </r>
  <r>
    <s v="interactive"/>
    <s v="ISRG"/>
    <n v="577.34"/>
    <x v="1"/>
    <n v="500"/>
    <d v="2026-01-16T00:00:00"/>
    <n v="-100"/>
    <n v="0"/>
    <n v="50000"/>
    <m/>
    <m/>
    <n v="50000"/>
    <n v="-100"/>
    <n v="-0.25"/>
    <n v="14433.5"/>
    <s v="US"/>
    <x v="10"/>
    <s v="groei"/>
  </r>
  <r>
    <s v="lynx"/>
    <s v="VOLKSWAGEN"/>
    <n v="105"/>
    <x v="1"/>
    <n v="110"/>
    <d v="2026-01-16T00:00:00"/>
    <n v="-200"/>
    <n v="-1000"/>
    <n v="22000"/>
    <n v="22000"/>
    <n v="-200"/>
    <m/>
    <m/>
    <n v="-0.25"/>
    <n v="5250"/>
    <s v="DE"/>
    <x v="6"/>
    <s v="waarde"/>
  </r>
  <r>
    <s v="interactive"/>
    <s v="ORACLE"/>
    <n v="195.34"/>
    <x v="1"/>
    <n v="170"/>
    <d v="2026-01-16T00:00:00"/>
    <n v="-100"/>
    <n v="0"/>
    <n v="17000"/>
    <m/>
    <m/>
    <n v="17000"/>
    <n v="-100"/>
    <n v="-0.25"/>
    <n v="4883.5"/>
    <s v="US"/>
    <x v="2"/>
    <s v="groei"/>
  </r>
  <r>
    <s v="degiro"/>
    <s v="URW"/>
    <n v="92.2"/>
    <x v="0"/>
    <n v="92"/>
    <d v="2026-01-16T00:00:00"/>
    <n v="-200"/>
    <n v="-40.000000000000568"/>
    <n v="-18400"/>
    <n v="-18400"/>
    <n v="-200"/>
    <m/>
    <m/>
    <n v="0.5"/>
    <n v="-9220"/>
    <s v="NL"/>
    <x v="1"/>
    <s v="waarde"/>
  </r>
  <r>
    <s v="interactive"/>
    <s v="VFC"/>
    <n v="18.43"/>
    <x v="0"/>
    <n v="19.5"/>
    <d v="2026-01-02T00:00:00"/>
    <n v="-1700"/>
    <n v="0"/>
    <n v="-33150"/>
    <m/>
    <m/>
    <n v="-33150"/>
    <n v="-1700"/>
    <n v="0.25"/>
    <n v="-7832.75"/>
    <s v="US"/>
    <x v="6"/>
    <s v="waarde"/>
  </r>
  <r>
    <s v="lynx"/>
    <s v="UNILEVER"/>
    <n v="55.54"/>
    <x v="0"/>
    <n v="57"/>
    <d v="2026-01-16T00:00:00"/>
    <n v="-100"/>
    <n v="0"/>
    <n v="-5700"/>
    <m/>
    <m/>
    <n v="-5700"/>
    <n v="-100"/>
    <n v="0.25"/>
    <n v="-1388.5"/>
    <s v="NL"/>
    <x v="0"/>
    <s v="waarde"/>
  </r>
  <r>
    <s v="degiro"/>
    <s v="NN"/>
    <n v="65.58"/>
    <x v="1"/>
    <n v="60"/>
    <d v="2026-01-16T00:00:00"/>
    <n v="-100"/>
    <n v="0"/>
    <n v="6000"/>
    <m/>
    <m/>
    <n v="6000"/>
    <n v="-100"/>
    <n v="-0.25"/>
    <n v="1639.5"/>
    <s v="NL"/>
    <x v="11"/>
    <s v="waarde"/>
  </r>
  <r>
    <s v="interactive"/>
    <s v="PLTR"/>
    <n v="194.13"/>
    <x v="1"/>
    <n v="180"/>
    <d v="2026-01-02T00:00:00"/>
    <n v="-400"/>
    <n v="0"/>
    <n v="72000"/>
    <m/>
    <m/>
    <n v="72000"/>
    <n v="-400"/>
    <n v="-0.25"/>
    <n v="19413"/>
    <s v="US"/>
    <x v="2"/>
    <s v="groei"/>
  </r>
  <r>
    <s v="interactive"/>
    <s v="ROBINHOOD"/>
    <n v="120.24"/>
    <x v="0"/>
    <n v="130"/>
    <d v="2026-01-02T00:00:00"/>
    <n v="-100"/>
    <n v="0"/>
    <n v="-13000"/>
    <m/>
    <m/>
    <n v="-13000"/>
    <n v="-100"/>
    <n v="0.25"/>
    <n v="-3006"/>
    <s v="US"/>
    <x v="2"/>
    <s v="groei"/>
  </r>
  <r>
    <s v="interactive"/>
    <s v="PG"/>
    <n v="143.18"/>
    <x v="0"/>
    <n v="150"/>
    <d v="2026-01-16T00:00:00"/>
    <n v="-100"/>
    <n v="0"/>
    <n v="-15000"/>
    <m/>
    <m/>
    <n v="-15000"/>
    <n v="-100"/>
    <n v="0.25"/>
    <n v="-3579.5"/>
    <s v="US"/>
    <x v="0"/>
    <s v="waarde"/>
  </r>
  <r>
    <s v="interactive"/>
    <s v="BHP"/>
    <n v="61.08"/>
    <x v="1"/>
    <n v="60"/>
    <d v="2026-01-16T00:00:00"/>
    <n v="-300"/>
    <n v="0"/>
    <n v="18000"/>
    <m/>
    <m/>
    <n v="18000"/>
    <n v="-300"/>
    <n v="-0.5"/>
    <n v="9162"/>
    <s v="US"/>
    <x v="9"/>
    <s v="waarde"/>
  </r>
  <r>
    <s v="degiro"/>
    <s v="DANONE"/>
    <n v="76.48"/>
    <x v="1"/>
    <n v="80"/>
    <d v="2026-01-16T00:00:00"/>
    <n v="-200"/>
    <n v="-703.9999999999992"/>
    <n v="16000"/>
    <n v="16000"/>
    <n v="-200"/>
    <m/>
    <m/>
    <n v="-0.25"/>
    <n v="3824"/>
    <s v="FR"/>
    <x v="0"/>
    <s v="waarde"/>
  </r>
  <r>
    <s v="degiro"/>
    <s v="BAYER"/>
    <n v="35.454999999999998"/>
    <x v="0"/>
    <n v="35.5"/>
    <d v="2026-01-16T00:00:00"/>
    <n v="-300"/>
    <n v="0"/>
    <n v="-10650"/>
    <m/>
    <m/>
    <n v="-10650"/>
    <n v="-300"/>
    <n v="0.5"/>
    <n v="-5318.25"/>
    <s v="DE"/>
    <x v="10"/>
    <s v="waarde"/>
  </r>
  <r>
    <s v="degiro"/>
    <s v="MT"/>
    <n v="38.26"/>
    <x v="1"/>
    <n v="38"/>
    <d v="2026-01-16T00:00:00"/>
    <n v="-800"/>
    <n v="0"/>
    <n v="30400"/>
    <m/>
    <m/>
    <n v="30400"/>
    <n v="-800"/>
    <n v="-0.5"/>
    <n v="15304"/>
    <s v="NL"/>
    <x v="9"/>
    <s v="waarde"/>
  </r>
  <r>
    <s v="degiro"/>
    <s v="BASF"/>
    <n v="43.73"/>
    <x v="1"/>
    <n v="43.5"/>
    <d v="2026-01-16T00:00:00"/>
    <n v="-200"/>
    <n v="0"/>
    <n v="8700"/>
    <m/>
    <m/>
    <n v="8700"/>
    <n v="-200"/>
    <n v="-0.5"/>
    <n v="4373"/>
    <s v="DE"/>
    <x v="9"/>
    <s v="waarde"/>
  </r>
  <r>
    <s v="interactive"/>
    <s v="PANW"/>
    <n v="188.12"/>
    <x v="0"/>
    <n v="192.5"/>
    <d v="2025-12-26T00:00:00"/>
    <n v="-100"/>
    <n v="0"/>
    <n v="-19250"/>
    <m/>
    <m/>
    <n v="-19250"/>
    <n v="-100"/>
    <n v="0.5"/>
    <n v="-9406"/>
    <s v="US"/>
    <x v="2"/>
    <s v="groei"/>
  </r>
  <r>
    <s v="lynx"/>
    <s v="RDSA"/>
    <n v="31"/>
    <x v="0"/>
    <n v="32"/>
    <d v="2026-01-16T00:00:00"/>
    <n v="-200"/>
    <n v="0"/>
    <n v="-6400"/>
    <m/>
    <m/>
    <n v="-6400"/>
    <n v="-200"/>
    <n v="0.25"/>
    <n v="-1550"/>
    <s v="NL"/>
    <x v="8"/>
    <s v="waarde"/>
  </r>
  <r>
    <s v="interactive"/>
    <s v="CAMECO"/>
    <n v="93.41"/>
    <x v="1"/>
    <n v="94"/>
    <d v="2025-12-26T00:00:00"/>
    <n v="-100"/>
    <n v="-59.000000000000341"/>
    <n v="9400"/>
    <n v="9400"/>
    <n v="-100"/>
    <m/>
    <m/>
    <n v="-0.5"/>
    <n v="4670.5"/>
    <s v="US"/>
    <x v="8"/>
    <s v="groei"/>
  </r>
  <r>
    <s v="degiro"/>
    <s v="BNP"/>
    <n v="80.61"/>
    <x v="1"/>
    <n v="70"/>
    <d v="2026-01-16T00:00:00"/>
    <n v="-200"/>
    <n v="0"/>
    <n v="14000"/>
    <m/>
    <m/>
    <n v="14000"/>
    <n v="-200"/>
    <n v="-0.25"/>
    <n v="4030.5"/>
    <s v="FR"/>
    <x v="7"/>
    <s v="waarde"/>
  </r>
  <r>
    <s v="lynx"/>
    <s v="BAYER"/>
    <n v="35.454999999999998"/>
    <x v="0"/>
    <n v="35"/>
    <d v="2026-01-16T00:00:00"/>
    <n v="-300"/>
    <n v="-136.49999999999949"/>
    <n v="-10500"/>
    <n v="-10500"/>
    <n v="-300"/>
    <m/>
    <m/>
    <n v="0.5"/>
    <n v="-5318.25"/>
    <s v="DE"/>
    <x v="10"/>
    <s v="waarde"/>
  </r>
  <r>
    <s v="interactive"/>
    <s v="KO"/>
    <n v="69.87"/>
    <x v="0"/>
    <n v="72"/>
    <d v="2026-01-16T00:00:00"/>
    <n v="-200"/>
    <n v="0"/>
    <n v="-14400"/>
    <m/>
    <m/>
    <n v="-14400"/>
    <n v="-200"/>
    <n v="0.25"/>
    <n v="-3493.5"/>
    <s v="US"/>
    <x v="0"/>
    <s v="waarde"/>
  </r>
  <r>
    <s v="lynx"/>
    <s v="BAYER"/>
    <n v="35.454999999999998"/>
    <x v="1"/>
    <n v="35"/>
    <d v="2026-01-16T00:00:00"/>
    <n v="-400"/>
    <n v="0"/>
    <n v="14000"/>
    <m/>
    <m/>
    <n v="14000"/>
    <n v="-400"/>
    <n v="-0.5"/>
    <n v="7091"/>
    <s v="DE"/>
    <x v="10"/>
    <s v="waarde"/>
  </r>
  <r>
    <s v="interactive"/>
    <s v="XSP"/>
    <n v="684"/>
    <x v="1"/>
    <n v="640"/>
    <d v="2026-03-20T00:00:00"/>
    <n v="100"/>
    <n v="0"/>
    <n v="-64000"/>
    <m/>
    <m/>
    <n v="-64000"/>
    <n v="100"/>
    <n v="-0.25"/>
    <n v="-17100"/>
    <s v="US"/>
    <x v="3"/>
    <s v="waarde"/>
  </r>
  <r>
    <s v="interactive"/>
    <s v="KO"/>
    <n v="69.87"/>
    <x v="1"/>
    <n v="71"/>
    <d v="2026-01-09T00:00:00"/>
    <n v="-100"/>
    <n v="-112.9999999999995"/>
    <n v="7100"/>
    <n v="7100"/>
    <n v="-100"/>
    <m/>
    <m/>
    <n v="-0.5"/>
    <n v="3493.5"/>
    <s v="US"/>
    <x v="0"/>
    <s v="waarde"/>
  </r>
  <r>
    <s v="degiro"/>
    <s v="AHOLD"/>
    <n v="34.520000000000003"/>
    <x v="0"/>
    <n v="35"/>
    <d v="2026-01-16T00:00:00"/>
    <n v="-300"/>
    <n v="0"/>
    <n v="-10500"/>
    <m/>
    <m/>
    <n v="-10500"/>
    <n v="-300"/>
    <n v="0.5"/>
    <n v="-5178.0000000000009"/>
    <s v="NL"/>
    <x v="0"/>
    <s v="waarde"/>
  </r>
  <r>
    <s v="lynx"/>
    <s v="UBER"/>
    <n v="80.97"/>
    <x v="0"/>
    <n v="85"/>
    <d v="2025-12-26T00:00:00"/>
    <n v="-100"/>
    <n v="0"/>
    <n v="-8500"/>
    <m/>
    <m/>
    <n v="-8500"/>
    <n v="-100"/>
    <n v="0.25"/>
    <n v="-2024.25"/>
    <s v="US"/>
    <x v="2"/>
    <s v="groei"/>
  </r>
  <r>
    <m/>
    <m/>
    <m/>
    <x v="2"/>
    <m/>
    <m/>
    <m/>
    <m/>
    <m/>
    <m/>
    <m/>
    <m/>
    <m/>
    <m/>
    <m/>
    <m/>
    <x v="1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interactive"/>
    <s v="FDX"/>
    <s v="US"/>
    <x v="0"/>
    <s v="waarde"/>
    <n v="295.20999999999998"/>
    <n v="0"/>
    <x v="0"/>
  </r>
  <r>
    <s v="interactive"/>
    <s v="GOOG"/>
    <s v="US"/>
    <x v="1"/>
    <s v="mixed"/>
    <n v="315.68"/>
    <n v="0"/>
    <x v="0"/>
  </r>
  <r>
    <s v="onbekend"/>
    <s v="APPLE"/>
    <s v="US"/>
    <x v="2"/>
    <s v="mixed"/>
    <n v="272.36"/>
    <n v="0"/>
    <x v="0"/>
  </r>
  <r>
    <s v="lynx"/>
    <s v="ENB"/>
    <s v="US"/>
    <x v="3"/>
    <s v="waarde"/>
    <n v="47.47"/>
    <n v="0"/>
    <x v="0"/>
  </r>
  <r>
    <s v="lynx"/>
    <s v="PNL"/>
    <s v="NL"/>
    <x v="0"/>
    <s v="waarde"/>
    <n v="1.0409999999999999"/>
    <n v="0"/>
    <x v="0"/>
  </r>
  <r>
    <s v="degiro"/>
    <s v="ORDINA"/>
    <s v="NL"/>
    <x v="2"/>
    <s v="waarde"/>
    <n v="0"/>
    <n v="0"/>
    <x v="0"/>
  </r>
  <r>
    <s v="onbekend"/>
    <s v="XSP"/>
    <s v="US"/>
    <x v="4"/>
    <s v="waarde"/>
    <n v="684"/>
    <n v="0"/>
    <x v="0"/>
  </r>
  <r>
    <s v="lynx"/>
    <s v="AHOLD"/>
    <s v="NL"/>
    <x v="5"/>
    <s v="waarde"/>
    <n v="34.520000000000003"/>
    <n v="0"/>
    <x v="0"/>
  </r>
  <r>
    <s v="lynx"/>
    <s v="VOLKSWAGEN"/>
    <s v="DE"/>
    <x v="6"/>
    <s v="waarde"/>
    <n v="105"/>
    <n v="0"/>
    <x v="0"/>
  </r>
  <r>
    <s v="degiro"/>
    <s v="URW"/>
    <s v="NL"/>
    <x v="7"/>
    <s v="waarde"/>
    <n v="92.2"/>
    <n v="201"/>
    <x v="1"/>
  </r>
  <r>
    <s v="degiro"/>
    <s v="UMG"/>
    <s v="NL"/>
    <x v="6"/>
    <s v="waarde"/>
    <n v="21.9"/>
    <n v="0"/>
    <x v="0"/>
  </r>
  <r>
    <s v="interactive"/>
    <s v="DHL"/>
    <s v="DE"/>
    <x v="0"/>
    <s v="waarde"/>
    <n v="46.58"/>
    <n v="100"/>
    <x v="2"/>
  </r>
  <r>
    <s v="lynx"/>
    <s v="SIGNIFY"/>
    <s v="NL"/>
    <x v="6"/>
    <s v="waarde"/>
    <n v="20.62"/>
    <n v="0"/>
    <x v="0"/>
  </r>
  <r>
    <s v="onbekend"/>
    <s v="WKL"/>
    <s v="NL"/>
    <x v="5"/>
    <s v="waarde"/>
    <n v="88.24"/>
    <n v="0"/>
    <x v="0"/>
  </r>
  <r>
    <s v="degiro"/>
    <s v="CORRECTIE-BENCHMARK"/>
    <s v="CORRECTIE-BENCHMARK"/>
    <x v="8"/>
    <s v="CORRECTIE-BENCHMARK"/>
    <n v="0"/>
    <n v="0"/>
    <x v="0"/>
  </r>
  <r>
    <s v="lynx"/>
    <s v="MICRON"/>
    <s v="US"/>
    <x v="2"/>
    <s v="mixed"/>
    <n v="276.27"/>
    <n v="0"/>
    <x v="0"/>
  </r>
  <r>
    <s v="degiro"/>
    <s v="RAND"/>
    <s v="NL"/>
    <x v="5"/>
    <s v="waarde"/>
    <n v="31.27"/>
    <n v="3"/>
    <x v="3"/>
  </r>
  <r>
    <s v="lynx"/>
    <s v="UBER"/>
    <s v="US"/>
    <x v="1"/>
    <s v="groei"/>
    <n v="80.97"/>
    <n v="100"/>
    <x v="4"/>
  </r>
  <r>
    <s v="degiro"/>
    <s v="AGN"/>
    <s v="NL"/>
    <x v="9"/>
    <s v="waarde"/>
    <n v="6.5679999999999996"/>
    <n v="0"/>
    <x v="0"/>
  </r>
  <r>
    <s v="lynx"/>
    <s v="EPD"/>
    <s v="US"/>
    <x v="3"/>
    <s v="waarde"/>
    <n v="32.119999999999997"/>
    <n v="0"/>
    <x v="0"/>
  </r>
  <r>
    <s v="interactive"/>
    <s v="MDT"/>
    <s v="US"/>
    <x v="10"/>
    <s v="waarde"/>
    <n v="97.47"/>
    <n v="0"/>
    <x v="0"/>
  </r>
  <r>
    <s v="lynx"/>
    <s v="ING"/>
    <s v="NL"/>
    <x v="11"/>
    <s v="waarde"/>
    <n v="23.925000000000001"/>
    <n v="0"/>
    <x v="0"/>
  </r>
  <r>
    <s v="interactive"/>
    <s v="ROBINHOOD"/>
    <s v="US"/>
    <x v="1"/>
    <s v="groei"/>
    <n v="120.24"/>
    <n v="100"/>
    <x v="5"/>
  </r>
  <r>
    <s v="lynx"/>
    <s v="HEINEKEN"/>
    <s v="NL"/>
    <x v="5"/>
    <s v="waarde"/>
    <n v="68.28"/>
    <n v="200"/>
    <x v="6"/>
  </r>
  <r>
    <s v="interactive"/>
    <s v="INTEL"/>
    <s v="US"/>
    <x v="2"/>
    <s v="mixed"/>
    <n v="36.35"/>
    <n v="500"/>
    <x v="7"/>
  </r>
  <r>
    <s v="interactive"/>
    <s v="ING"/>
    <s v="NL"/>
    <x v="11"/>
    <s v="waarde"/>
    <n v="23.925000000000001"/>
    <n v="0"/>
    <x v="0"/>
  </r>
  <r>
    <s v="interactive"/>
    <s v="WALMART"/>
    <s v="US"/>
    <x v="5"/>
    <s v="waarde"/>
    <n v="110.9"/>
    <n v="0"/>
    <x v="0"/>
  </r>
  <r>
    <s v="degiro"/>
    <s v="NN"/>
    <s v="NL"/>
    <x v="9"/>
    <s v="waarde"/>
    <n v="65.58"/>
    <n v="2"/>
    <x v="8"/>
  </r>
  <r>
    <s v="onbekend"/>
    <s v="NDX"/>
    <s v="US"/>
    <x v="4"/>
    <s v="waarde"/>
    <n v="0"/>
    <n v="0"/>
    <x v="0"/>
  </r>
  <r>
    <s v="degiro"/>
    <s v="HEINEKEN"/>
    <s v="NL"/>
    <x v="5"/>
    <s v="waarde"/>
    <n v="68.28"/>
    <n v="229"/>
    <x v="9"/>
  </r>
  <r>
    <s v="onbekend"/>
    <s v="MMM"/>
    <s v="US"/>
    <x v="0"/>
    <s v="waarde"/>
    <n v="160.15"/>
    <n v="0"/>
    <x v="0"/>
  </r>
  <r>
    <s v="onbekend"/>
    <s v="RIO"/>
    <s v="US"/>
    <x v="12"/>
    <s v="waarde"/>
    <n v="80.97"/>
    <n v="0"/>
    <x v="0"/>
  </r>
  <r>
    <s v="lynx"/>
    <s v="CL"/>
    <s v="US"/>
    <x v="5"/>
    <s v="waarde"/>
    <n v="79.930000000000007"/>
    <n v="0"/>
    <x v="0"/>
  </r>
  <r>
    <s v="onbekend"/>
    <s v="UPS"/>
    <s v="US"/>
    <x v="0"/>
    <s v="waarde"/>
    <n v="100.19"/>
    <n v="0"/>
    <x v="0"/>
  </r>
  <r>
    <s v="interactive"/>
    <s v="SNOW"/>
    <s v="US"/>
    <x v="1"/>
    <s v="groei"/>
    <n v="225.1"/>
    <n v="0"/>
    <x v="0"/>
  </r>
  <r>
    <s v="onbekend"/>
    <s v="BATS"/>
    <s v="UK"/>
    <x v="5"/>
    <s v="waarde"/>
    <n v="4218.9998999999998"/>
    <n v="0"/>
    <x v="0"/>
  </r>
  <r>
    <s v="degiro"/>
    <s v="WHA"/>
    <s v="NL"/>
    <x v="7"/>
    <s v="waarde"/>
    <n v="19.14"/>
    <n v="6"/>
    <x v="10"/>
  </r>
  <r>
    <s v="interactive"/>
    <s v="WDS"/>
    <s v="US"/>
    <x v="12"/>
    <s v="waarde"/>
    <n v="15.48"/>
    <n v="0"/>
    <x v="0"/>
  </r>
  <r>
    <s v="interactive"/>
    <s v="PANW"/>
    <s v="US"/>
    <x v="1"/>
    <s v="groei"/>
    <n v="188.12"/>
    <n v="100"/>
    <x v="11"/>
  </r>
  <r>
    <s v="lynx"/>
    <s v="VALE"/>
    <s v="US"/>
    <x v="12"/>
    <s v="waarde"/>
    <n v="13.21"/>
    <n v="0"/>
    <x v="0"/>
  </r>
  <r>
    <s v="degiro"/>
    <s v="UNILEVER"/>
    <s v="NL"/>
    <x v="5"/>
    <s v="waarde"/>
    <n v="55.54"/>
    <n v="745"/>
    <x v="12"/>
  </r>
  <r>
    <s v="lynx"/>
    <s v="NIKE"/>
    <s v="US"/>
    <x v="6"/>
    <s v="waarde"/>
    <n v="57.34"/>
    <n v="0"/>
    <x v="0"/>
  </r>
  <r>
    <s v="onbekend"/>
    <s v="BTI"/>
    <s v="UK"/>
    <x v="5"/>
    <s v="waarde"/>
    <n v="57.04"/>
    <n v="0"/>
    <x v="0"/>
  </r>
  <r>
    <s v="interactive"/>
    <s v="NVIDIA"/>
    <s v="US"/>
    <x v="2"/>
    <s v="mixed"/>
    <n v="189.21"/>
    <n v="0"/>
    <x v="0"/>
  </r>
  <r>
    <s v="lynx"/>
    <s v="UNILEVER"/>
    <s v="NL"/>
    <x v="5"/>
    <s v="waarde"/>
    <n v="55.54"/>
    <n v="101"/>
    <x v="13"/>
  </r>
  <r>
    <s v="degiro"/>
    <s v="MT"/>
    <s v="NL"/>
    <x v="12"/>
    <s v="waarde"/>
    <n v="38.26"/>
    <n v="50"/>
    <x v="14"/>
  </r>
  <r>
    <s v="degiro"/>
    <s v="BAYER"/>
    <s v="DE"/>
    <x v="10"/>
    <s v="waarde"/>
    <n v="35.454999999999998"/>
    <n v="500"/>
    <x v="15"/>
  </r>
  <r>
    <s v="lynx"/>
    <s v="MAGNUM"/>
    <s v="NL"/>
    <x v="5"/>
    <s v="waarde"/>
    <n v="13.31"/>
    <n v="22"/>
    <x v="16"/>
  </r>
  <r>
    <s v="lynx"/>
    <s v="UMG"/>
    <s v="NL"/>
    <x v="6"/>
    <s v="waarde"/>
    <n v="21.9"/>
    <n v="0"/>
    <x v="0"/>
  </r>
  <r>
    <s v="degiro"/>
    <s v="MAGNUM"/>
    <s v="NL"/>
    <x v="5"/>
    <s v="waarde"/>
    <n v="13.31"/>
    <n v="300"/>
    <x v="17"/>
  </r>
  <r>
    <s v="lynx"/>
    <s v="DHL"/>
    <s v="DE"/>
    <x v="0"/>
    <s v="waarde"/>
    <n v="46.58"/>
    <n v="0"/>
    <x v="0"/>
  </r>
  <r>
    <s v="degiro"/>
    <s v="AHOLD"/>
    <s v="NL"/>
    <x v="5"/>
    <s v="waarde"/>
    <n v="34.520000000000003"/>
    <n v="340"/>
    <x v="18"/>
  </r>
  <r>
    <s v="onbekend"/>
    <s v="ORACLE"/>
    <s v="US"/>
    <x v="1"/>
    <s v="groei"/>
    <n v="195.34"/>
    <n v="0"/>
    <x v="0"/>
  </r>
  <r>
    <s v="interactive"/>
    <s v="XLV"/>
    <s v="US"/>
    <x v="10"/>
    <s v="waarde"/>
    <n v="154.99"/>
    <n v="100"/>
    <x v="19"/>
  </r>
  <r>
    <s v="degiro"/>
    <s v="DANONE"/>
    <s v="FR"/>
    <x v="5"/>
    <s v="waarde"/>
    <n v="76.48"/>
    <n v="0"/>
    <x v="0"/>
  </r>
  <r>
    <s v="degiro"/>
    <s v="BESI"/>
    <s v="NL"/>
    <x v="2"/>
    <s v="mixed"/>
    <n v="131.9"/>
    <n v="106"/>
    <x v="20"/>
  </r>
  <r>
    <s v="lynx"/>
    <s v="OKTA"/>
    <s v="US"/>
    <x v="1"/>
    <s v="groei"/>
    <n v="89.06"/>
    <n v="100"/>
    <x v="21"/>
  </r>
  <r>
    <s v="onbekend"/>
    <s v="SERVICENOW"/>
    <s v="US"/>
    <x v="1"/>
    <s v="groei"/>
    <n v="154.36000000000001"/>
    <n v="0"/>
    <x v="0"/>
  </r>
  <r>
    <s v="interactive"/>
    <s v="VZ"/>
    <s v="US"/>
    <x v="13"/>
    <s v="waarde"/>
    <n v="39.92"/>
    <n v="300"/>
    <x v="22"/>
  </r>
  <r>
    <s v="lynx"/>
    <s v="AGN"/>
    <s v="NL"/>
    <x v="9"/>
    <s v="waarde"/>
    <n v="6.5679999999999996"/>
    <n v="0"/>
    <x v="0"/>
  </r>
  <r>
    <s v="onbekend"/>
    <s v="BP"/>
    <s v="UK"/>
    <x v="3"/>
    <s v="waarde"/>
    <n v="34.58"/>
    <n v="0"/>
    <x v="0"/>
  </r>
  <r>
    <s v="interactive"/>
    <s v="UNILEVER"/>
    <s v="NL"/>
    <x v="5"/>
    <s v="waarde"/>
    <n v="55.54"/>
    <n v="0"/>
    <x v="0"/>
  </r>
  <r>
    <s v="degiro"/>
    <s v="ABN"/>
    <s v="NL"/>
    <x v="11"/>
    <s v="waarde"/>
    <n v="29.57"/>
    <n v="20"/>
    <x v="23"/>
  </r>
  <r>
    <s v="degiro"/>
    <s v="DHL"/>
    <s v="DE"/>
    <x v="0"/>
    <s v="waarde"/>
    <n v="46.58"/>
    <n v="0"/>
    <x v="0"/>
  </r>
  <r>
    <s v="lynx"/>
    <s v="ROBINHOOD"/>
    <s v="US"/>
    <x v="1"/>
    <s v="groei"/>
    <n v="120.24"/>
    <n v="0"/>
    <x v="0"/>
  </r>
  <r>
    <s v="onbekend"/>
    <s v="UNH"/>
    <s v="US"/>
    <x v="10"/>
    <s v="waarde"/>
    <n v="324.8"/>
    <n v="0"/>
    <x v="0"/>
  </r>
  <r>
    <s v="interactive"/>
    <s v="NIKE"/>
    <s v="US"/>
    <x v="6"/>
    <s v="waarde"/>
    <n v="57.34"/>
    <n v="100"/>
    <x v="24"/>
  </r>
  <r>
    <s v="degiro"/>
    <s v="TKWY"/>
    <s v="NL"/>
    <x v="1"/>
    <s v="groei"/>
    <n v="20.3"/>
    <n v="0"/>
    <x v="0"/>
  </r>
  <r>
    <s v="lynx"/>
    <s v="BABA"/>
    <s v="US"/>
    <x v="1"/>
    <s v="groei"/>
    <n v="151.22999999999999"/>
    <n v="0"/>
    <x v="0"/>
  </r>
  <r>
    <s v="lynx"/>
    <s v="AMD"/>
    <s v="US"/>
    <x v="2"/>
    <s v="mixed"/>
    <n v="214.9"/>
    <n v="0"/>
    <x v="0"/>
  </r>
  <r>
    <s v="onbekend"/>
    <s v="VOPAK"/>
    <s v="NL"/>
    <x v="3"/>
    <s v="waarde"/>
    <n v="37.42"/>
    <n v="0"/>
    <x v="0"/>
  </r>
  <r>
    <s v="lynx"/>
    <s v="BESI"/>
    <s v="NL"/>
    <x v="2"/>
    <s v="mixed"/>
    <n v="131.9"/>
    <n v="11"/>
    <x v="25"/>
  </r>
  <r>
    <s v="interactive"/>
    <s v="VFC"/>
    <s v="US"/>
    <x v="6"/>
    <s v="waarde"/>
    <n v="18.43"/>
    <n v="2800"/>
    <x v="26"/>
  </r>
  <r>
    <s v="interactive"/>
    <s v="CORRECTIE-BENCHMARK"/>
    <s v="CORRECTIE-BENCHMARK"/>
    <x v="8"/>
    <s v="CORRECTIE-BENCHMARK"/>
    <n v="0"/>
    <n v="0"/>
    <x v="0"/>
  </r>
  <r>
    <s v="interactive"/>
    <s v="DANONE"/>
    <s v="FR"/>
    <x v="5"/>
    <s v="waarde"/>
    <n v="76.48"/>
    <n v="0"/>
    <x v="0"/>
  </r>
  <r>
    <s v="interactive"/>
    <s v="O"/>
    <s v="US"/>
    <x v="7"/>
    <s v="waarde"/>
    <n v="55.93"/>
    <n v="200"/>
    <x v="27"/>
  </r>
  <r>
    <s v="onbekend"/>
    <s v="AEX"/>
    <s v="NL"/>
    <x v="4"/>
    <s v="waarde"/>
    <n v="951"/>
    <n v="0"/>
    <x v="0"/>
  </r>
  <r>
    <s v="interactive"/>
    <s v="MICRON"/>
    <s v="US"/>
    <x v="2"/>
    <s v="mixed"/>
    <n v="276.27"/>
    <n v="0"/>
    <x v="0"/>
  </r>
  <r>
    <s v="interactive"/>
    <s v="ANET"/>
    <s v="US"/>
    <x v="2"/>
    <s v="groei"/>
    <n v="131.32"/>
    <n v="0"/>
    <x v="0"/>
  </r>
  <r>
    <s v="lynx"/>
    <s v="PLAN"/>
    <s v="US"/>
    <x v="1"/>
    <s v="groei"/>
    <n v="0"/>
    <n v="0"/>
    <x v="0"/>
  </r>
  <r>
    <s v="onbekend"/>
    <s v="ISRG"/>
    <s v="US"/>
    <x v="10"/>
    <s v="groei"/>
    <n v="577.34"/>
    <n v="0"/>
    <x v="0"/>
  </r>
  <r>
    <s v="interactive"/>
    <s v="KO"/>
    <s v="US"/>
    <x v="5"/>
    <s v="waarde"/>
    <n v="69.87"/>
    <n v="200"/>
    <x v="28"/>
  </r>
  <r>
    <s v="interactive"/>
    <s v="JNJ"/>
    <s v="US"/>
    <x v="5"/>
    <s v="waarde"/>
    <n v="205.78"/>
    <n v="1"/>
    <x v="29"/>
  </r>
  <r>
    <s v="lynx"/>
    <s v="BHP"/>
    <s v="US"/>
    <x v="12"/>
    <s v="waarde"/>
    <n v="61.08"/>
    <n v="0"/>
    <x v="0"/>
  </r>
  <r>
    <s v="interactive"/>
    <s v="NEBIUS"/>
    <s v="US"/>
    <x v="1"/>
    <s v="groei"/>
    <n v="90.03"/>
    <n v="0"/>
    <x v="0"/>
  </r>
  <r>
    <s v="onbekend"/>
    <s v="ATT"/>
    <s v="US"/>
    <x v="13"/>
    <s v="waarde"/>
    <n v="24.46"/>
    <n v="0"/>
    <x v="0"/>
  </r>
  <r>
    <s v="interactive"/>
    <s v="CL"/>
    <s v="US"/>
    <x v="5"/>
    <s v="waarde"/>
    <n v="79.930000000000007"/>
    <n v="100"/>
    <x v="30"/>
  </r>
  <r>
    <s v="onbekend"/>
    <s v="META"/>
    <s v="US"/>
    <x v="1"/>
    <s v="mixed"/>
    <n v="664.94"/>
    <n v="0"/>
    <x v="0"/>
  </r>
  <r>
    <s v="degiro"/>
    <s v="BMW"/>
    <s v="DE"/>
    <x v="6"/>
    <s v="waarde"/>
    <n v="92.86"/>
    <n v="2"/>
    <x v="31"/>
  </r>
  <r>
    <s v="degiro"/>
    <s v="PNL"/>
    <s v="NL"/>
    <x v="0"/>
    <s v="waarde"/>
    <n v="1.0409999999999999"/>
    <n v="0"/>
    <x v="0"/>
  </r>
  <r>
    <s v="lynx"/>
    <s v="URW"/>
    <s v="NL"/>
    <x v="7"/>
    <s v="waarde"/>
    <n v="92.2"/>
    <n v="0"/>
    <x v="0"/>
  </r>
  <r>
    <s v="interactive"/>
    <s v="BESI"/>
    <s v="NL"/>
    <x v="2"/>
    <s v="mixed"/>
    <n v="131.9"/>
    <n v="0"/>
    <x v="0"/>
  </r>
  <r>
    <s v="degiro"/>
    <s v="RELX"/>
    <s v="NL"/>
    <x v="5"/>
    <s v="waarde"/>
    <n v="34.78"/>
    <n v="6"/>
    <x v="32"/>
  </r>
  <r>
    <s v="lynx"/>
    <s v="O"/>
    <s v="US"/>
    <x v="7"/>
    <s v="waarde"/>
    <n v="55.93"/>
    <n v="600"/>
    <x v="33"/>
  </r>
  <r>
    <s v="lynx"/>
    <s v="CORRECTIE-BENCHMARK"/>
    <s v="CORRECTIE-BENCHMARK"/>
    <x v="8"/>
    <s v="CORRECTIE-BENCHMARK"/>
    <n v="0"/>
    <n v="0"/>
    <x v="0"/>
  </r>
  <r>
    <s v="lynx"/>
    <s v="PLTR"/>
    <s v="US"/>
    <x v="1"/>
    <s v="groei"/>
    <n v="194.13"/>
    <n v="0"/>
    <x v="0"/>
  </r>
  <r>
    <s v="degiro"/>
    <s v="PHIA"/>
    <s v="NL"/>
    <x v="10"/>
    <s v="waarde"/>
    <n v="22.79"/>
    <n v="0"/>
    <x v="0"/>
  </r>
  <r>
    <s v="interactive"/>
    <s v="BABA"/>
    <s v="US"/>
    <x v="1"/>
    <s v="groei"/>
    <n v="151.22999999999999"/>
    <n v="0"/>
    <x v="0"/>
  </r>
  <r>
    <s v="interactive"/>
    <s v="AMD"/>
    <s v="US"/>
    <x v="2"/>
    <s v="mixed"/>
    <n v="214.9"/>
    <n v="0"/>
    <x v="0"/>
  </r>
  <r>
    <s v="lynx"/>
    <s v="BAYER"/>
    <s v="DE"/>
    <x v="10"/>
    <s v="waarde"/>
    <n v="35.454999999999998"/>
    <n v="300"/>
    <x v="34"/>
  </r>
  <r>
    <s v="lynx"/>
    <s v="NN"/>
    <s v="NL"/>
    <x v="9"/>
    <s v="waarde"/>
    <n v="65.58"/>
    <n v="5"/>
    <x v="35"/>
  </r>
  <r>
    <s v="interactive"/>
    <s v="UBER"/>
    <s v="US"/>
    <x v="1"/>
    <s v="groei"/>
    <n v="80.97"/>
    <n v="200"/>
    <x v="36"/>
  </r>
  <r>
    <s v="lynx"/>
    <s v="ECMPA"/>
    <s v="NL"/>
    <x v="7"/>
    <s v="waarde"/>
    <n v="26.05"/>
    <n v="0"/>
    <x v="0"/>
  </r>
  <r>
    <s v="lynx"/>
    <s v="TKWY"/>
    <s v="NL"/>
    <x v="1"/>
    <s v="groei"/>
    <n v="20.3"/>
    <n v="0"/>
    <x v="0"/>
  </r>
  <r>
    <s v="interactive"/>
    <s v="BHP"/>
    <s v="US"/>
    <x v="12"/>
    <s v="waarde"/>
    <n v="61.08"/>
    <n v="0"/>
    <x v="0"/>
  </r>
  <r>
    <s v="lynx"/>
    <s v="SNOW"/>
    <s v="US"/>
    <x v="1"/>
    <s v="groei"/>
    <n v="225.1"/>
    <n v="0"/>
    <x v="0"/>
  </r>
  <r>
    <s v="lynx"/>
    <s v="KO"/>
    <s v="US"/>
    <x v="5"/>
    <s v="waarde"/>
    <n v="69.87"/>
    <n v="0"/>
    <x v="0"/>
  </r>
  <r>
    <s v="degiro"/>
    <s v="PROSUS"/>
    <s v="NL"/>
    <x v="1"/>
    <s v="groei"/>
    <n v="52.72"/>
    <n v="10"/>
    <x v="37"/>
  </r>
  <r>
    <s v="lynx"/>
    <s v="RDSA"/>
    <s v="NL"/>
    <x v="3"/>
    <s v="waarde"/>
    <n v="31"/>
    <n v="210"/>
    <x v="38"/>
  </r>
  <r>
    <s v="lynx"/>
    <s v="WHA"/>
    <s v="NL"/>
    <x v="7"/>
    <s v="waarde"/>
    <n v="19.14"/>
    <n v="0"/>
    <x v="0"/>
  </r>
  <r>
    <s v="degiro"/>
    <s v="KPN"/>
    <s v="NL"/>
    <x v="13"/>
    <s v="waarde"/>
    <n v="3.952"/>
    <n v="30"/>
    <x v="39"/>
  </r>
  <r>
    <s v="interactive"/>
    <s v="BASF"/>
    <s v="DE"/>
    <x v="12"/>
    <s v="waarde"/>
    <n v="43.73"/>
    <n v="0"/>
    <x v="0"/>
  </r>
  <r>
    <s v="onbekend"/>
    <s v="XND"/>
    <s v="US"/>
    <x v="4"/>
    <s v="waarde"/>
    <n v="255"/>
    <n v="0"/>
    <x v="0"/>
  </r>
  <r>
    <s v="interactive"/>
    <s v="OKTA"/>
    <s v="US"/>
    <x v="1"/>
    <s v="groei"/>
    <n v="89.06"/>
    <n v="100"/>
    <x v="21"/>
  </r>
  <r>
    <s v="interactive"/>
    <s v="MRK"/>
    <s v="US"/>
    <x v="10"/>
    <s v="waarde"/>
    <n v="105.04"/>
    <n v="0"/>
    <x v="0"/>
  </r>
  <r>
    <s v="onbekend"/>
    <s v="ASMI"/>
    <s v="NL"/>
    <x v="2"/>
    <s v="mixed"/>
    <n v="515.4"/>
    <n v="0"/>
    <x v="0"/>
  </r>
  <r>
    <s v="lynx"/>
    <s v="MRK"/>
    <s v="US"/>
    <x v="10"/>
    <s v="waarde"/>
    <n v="105.04"/>
    <n v="0"/>
    <x v="0"/>
  </r>
  <r>
    <s v="lynx"/>
    <s v="PHIA"/>
    <s v="NL"/>
    <x v="10"/>
    <s v="waarde"/>
    <n v="22.79"/>
    <n v="0"/>
    <x v="0"/>
  </r>
  <r>
    <s v="onbekend"/>
    <s v="TBT"/>
    <s v="US"/>
    <x v="11"/>
    <s v="waarde"/>
    <n v="34.44"/>
    <n v="0"/>
    <x v="0"/>
  </r>
  <r>
    <s v="lynx"/>
    <s v="AMZN"/>
    <s v="US"/>
    <x v="1"/>
    <s v="mixed"/>
    <n v="232.14"/>
    <n v="0"/>
    <x v="0"/>
  </r>
  <r>
    <s v="interactive"/>
    <s v="UVXY"/>
    <s v="US"/>
    <x v="11"/>
    <s v="groei"/>
    <n v="36.979999999999997"/>
    <n v="-60"/>
    <x v="40"/>
  </r>
  <r>
    <s v="lynx"/>
    <s v="BMW"/>
    <s v="DE"/>
    <x v="6"/>
    <s v="waarde"/>
    <n v="92.86"/>
    <n v="0"/>
    <x v="0"/>
  </r>
  <r>
    <s v="lynx"/>
    <s v="RAND"/>
    <s v="NL"/>
    <x v="5"/>
    <s v="waarde"/>
    <n v="31.27"/>
    <n v="0"/>
    <x v="0"/>
  </r>
  <r>
    <s v="interactive"/>
    <s v="PG"/>
    <s v="US"/>
    <x v="5"/>
    <s v="waarde"/>
    <n v="143.18"/>
    <n v="100"/>
    <x v="41"/>
  </r>
  <r>
    <s v="lynx"/>
    <s v="WDS"/>
    <s v="US"/>
    <x v="12"/>
    <s v="waarde"/>
    <n v="15.48"/>
    <n v="0"/>
    <x v="0"/>
  </r>
  <r>
    <s v="lynx"/>
    <s v="MT"/>
    <s v="NL"/>
    <x v="12"/>
    <s v="waarde"/>
    <n v="38.26"/>
    <n v="6"/>
    <x v="42"/>
  </r>
  <r>
    <s v="lynx"/>
    <s v="VFC"/>
    <s v="US"/>
    <x v="6"/>
    <s v="waarde"/>
    <n v="18.43"/>
    <n v="0"/>
    <x v="0"/>
  </r>
  <r>
    <s v="lynx"/>
    <s v="INFINEON"/>
    <s v="DE"/>
    <x v="2"/>
    <s v="mixed"/>
    <n v="36.67"/>
    <n v="0"/>
    <x v="0"/>
  </r>
  <r>
    <s v="onbekend"/>
    <s v="ASMLAEB"/>
    <s v="NL"/>
    <x v="2"/>
    <s v="mixed"/>
    <n v="903.2"/>
    <n v="0"/>
    <x v="0"/>
  </r>
  <r>
    <s v="degiro"/>
    <s v="ASR"/>
    <s v="NL"/>
    <x v="9"/>
    <s v="waarde"/>
    <n v="60.7"/>
    <n v="7"/>
    <x v="43"/>
  </r>
  <r>
    <s v="lynx"/>
    <s v="CAMECO"/>
    <s v="US"/>
    <x v="3"/>
    <s v="groei"/>
    <n v="93.41"/>
    <n v="100"/>
    <x v="44"/>
  </r>
  <r>
    <s v="degiro"/>
    <s v="ING"/>
    <s v="NL"/>
    <x v="11"/>
    <s v="waarde"/>
    <n v="23.925000000000001"/>
    <n v="196"/>
    <x v="45"/>
  </r>
  <r>
    <s v="lynx"/>
    <s v="RELX"/>
    <s v="NL"/>
    <x v="5"/>
    <s v="waarde"/>
    <n v="34.78"/>
    <n v="303"/>
    <x v="46"/>
  </r>
  <r>
    <s v="interactive"/>
    <s v="PLTR"/>
    <s v="US"/>
    <x v="1"/>
    <s v="groei"/>
    <n v="194.13"/>
    <n v="0"/>
    <x v="0"/>
  </r>
  <r>
    <s v="lynx"/>
    <s v="PROSUS"/>
    <s v="NL"/>
    <x v="1"/>
    <s v="groei"/>
    <n v="52.72"/>
    <n v="0"/>
    <x v="0"/>
  </r>
  <r>
    <s v="degiro"/>
    <s v="RDSA"/>
    <s v="NL"/>
    <x v="3"/>
    <s v="waarde"/>
    <n v="31"/>
    <n v="467"/>
    <x v="47"/>
  </r>
  <r>
    <s v="onbekend"/>
    <s v="BNP"/>
    <s v="FR"/>
    <x v="11"/>
    <s v="waarde"/>
    <n v="80.61"/>
    <n v="0"/>
    <x v="0"/>
  </r>
  <r>
    <s v="interactive"/>
    <s v="VALE"/>
    <s v="US"/>
    <x v="12"/>
    <s v="waarde"/>
    <n v="13.21"/>
    <n v="0"/>
    <x v="0"/>
  </r>
  <r>
    <s v="onbekend"/>
    <s v="OXY"/>
    <s v="US"/>
    <x v="3"/>
    <s v="waarde"/>
    <n v="40.1"/>
    <n v="0"/>
    <x v="0"/>
  </r>
  <r>
    <s v="lynx"/>
    <s v="VZ"/>
    <s v="US"/>
    <x v="13"/>
    <s v="waarde"/>
    <n v="39.92"/>
    <n v="0"/>
    <x v="0"/>
  </r>
  <r>
    <s v="interactive"/>
    <s v="CAMECO"/>
    <s v="US"/>
    <x v="3"/>
    <s v="groei"/>
    <n v="93.41"/>
    <n v="100"/>
    <x v="44"/>
  </r>
  <r>
    <s v="onbekend"/>
    <s v="APPLOVIN"/>
    <s v="US"/>
    <x v="1"/>
    <s v="groei"/>
    <n v="728.45"/>
    <n v="0"/>
    <x v="0"/>
  </r>
  <r>
    <s v="onbekend"/>
    <s v="ALLIANZ"/>
    <s v="DE"/>
    <x v="9"/>
    <s v="waarde"/>
    <n v="390.4"/>
    <n v="0"/>
    <x v="0"/>
  </r>
  <r>
    <m/>
    <m/>
    <m/>
    <x v="14"/>
    <m/>
    <m/>
    <m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9B597-5EDD-4B48-8BD9-F7C9B08C34D8}" name="Draaitabel4" cacheId="6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24:B38" firstHeaderRow="1" firstDataRow="1" firstDataCol="1" rowPageCount="1" colPageCount="1"/>
  <pivotFields count="18"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x="9"/>
        <item x="2"/>
        <item x="12"/>
        <item x="6"/>
        <item x="0"/>
        <item x="8"/>
        <item x="7"/>
        <item h="1" x="3"/>
        <item x="5"/>
        <item x="4"/>
        <item x="11"/>
        <item x="10"/>
        <item x="1"/>
        <item x="13"/>
        <item t="default"/>
      </items>
    </pivotField>
    <pivotField showAll="0"/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3" hier="-1"/>
  </pageFields>
  <dataFields count="1">
    <dataField name="Som van waarde_ITM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903F2-1DC5-4052-8836-8133198ECD94}" name="Draaitabel3" cacheId="1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D3:E16" firstHeaderRow="1" firstDataRow="1" firstDataCol="1"/>
  <pivotFields count="8">
    <pivotField showAll="0"/>
    <pivotField showAll="0"/>
    <pivotField showAll="0"/>
    <pivotField axis="axisRow" showAll="0" sortType="ascending">
      <items count="16">
        <item x="12"/>
        <item x="1"/>
        <item x="13"/>
        <item x="6"/>
        <item x="5"/>
        <item h="1" x="8"/>
        <item x="3"/>
        <item x="11"/>
        <item h="1" x="4"/>
        <item x="0"/>
        <item x="2"/>
        <item x="9"/>
        <item x="10"/>
        <item x="7"/>
        <item h="1" x="14"/>
        <item t="default"/>
      </items>
    </pivotField>
    <pivotField showAll="0"/>
    <pivotField showAll="0"/>
    <pivotField showAll="0"/>
    <pivotField dataField="1" showAll="0">
      <items count="50">
        <item x="40"/>
        <item x="0"/>
        <item x="3"/>
        <item x="10"/>
        <item x="39"/>
        <item x="8"/>
        <item x="31"/>
        <item x="29"/>
        <item x="32"/>
        <item x="42"/>
        <item x="16"/>
        <item x="35"/>
        <item x="43"/>
        <item x="37"/>
        <item x="23"/>
        <item x="25"/>
        <item x="14"/>
        <item x="17"/>
        <item x="2"/>
        <item x="45"/>
        <item x="13"/>
        <item x="24"/>
        <item x="38"/>
        <item x="30"/>
        <item x="4"/>
        <item x="21"/>
        <item x="44"/>
        <item x="46"/>
        <item x="34"/>
        <item x="27"/>
        <item x="18"/>
        <item x="22"/>
        <item x="5"/>
        <item x="6"/>
        <item x="28"/>
        <item x="20"/>
        <item x="41"/>
        <item x="47"/>
        <item x="19"/>
        <item x="9"/>
        <item x="36"/>
        <item x="15"/>
        <item x="7"/>
        <item x="1"/>
        <item x="11"/>
        <item x="33"/>
        <item x="12"/>
        <item x="26"/>
        <item x="48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 van waarde_bez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A00E5-5F43-425F-80EA-FD23453D7F71}" name="Draaitabel1" cacheId="6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18"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x="9"/>
        <item x="2"/>
        <item x="12"/>
        <item x="6"/>
        <item x="0"/>
        <item x="8"/>
        <item x="7"/>
        <item h="1" x="3"/>
        <item x="5"/>
        <item x="4"/>
        <item x="11"/>
        <item x="10"/>
        <item x="1"/>
        <item x="13"/>
        <item t="default"/>
      </items>
    </pivotField>
    <pivotField showAll="0"/>
  </pivotFields>
  <rowFields count="1">
    <field x="16"/>
  </rowFields>
  <rowItems count="12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3" item="1" hier="-1"/>
  </pageFields>
  <dataFields count="1">
    <dataField name="Som van waarde_bez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26F0B-AD6F-4395-BF8A-1518106A5908}" name="Tabel1" displayName="Tabel1" ref="A3:R11" totalsRowShown="0">
  <autoFilter ref="A3:R11" xr:uid="{54526F0B-AD6F-4395-BF8A-1518106A5908}"/>
  <tableColumns count="18">
    <tableColumn id="1" xr3:uid="{BD0D0815-4C75-45CA-A3DA-3888349C877D}" name="broker"/>
    <tableColumn id="2" xr3:uid="{89B84A61-771E-4EA6-A629-84D9B4E82F2F}" name="asset_rollup"/>
    <tableColumn id="3" xr3:uid="{F6F5D4A6-5AE8-49C1-B63A-243A91967EC8}" name="Koers"/>
    <tableColumn id="4" xr3:uid="{1F916886-21BE-48B8-B50D-74EF69B06250}" name="optie_call_put"/>
    <tableColumn id="5" xr3:uid="{5FDE27F2-051E-48DE-8340-035B4BFB2A4D}" name="optie_strike"/>
    <tableColumn id="6" xr3:uid="{1192B15A-524A-4648-BA9F-6CD9A2653B32}" name="optie_exp_date" dataDxfId="0"/>
    <tableColumn id="7" xr3:uid="{278FC3AC-BA35-4C9F-BAAF-B117BD8232D5}" name="SomVantransactie_aantal"/>
    <tableColumn id="8" xr3:uid="{D861FF3A-3016-48C8-89EE-98E1C4B04B90}" name="ITM_OTM"/>
    <tableColumn id="9" xr3:uid="{ED12719D-A82D-41BE-9256-0C7AEC15B35C}" name="waarde_bezit"/>
    <tableColumn id="10" xr3:uid="{D81A9205-A368-4797-86F1-E2151179C881}" name="waarde_ITM"/>
    <tableColumn id="11" xr3:uid="{A01B6DAA-B466-4184-A6FF-28D76F916DEF}" name="aantal_ITM"/>
    <tableColumn id="12" xr3:uid="{2B131BB0-10D5-43C8-8D12-675E5DF2D386}" name="waarde_OTM"/>
    <tableColumn id="13" xr3:uid="{220E1EDC-42AA-4D88-9BD9-60710823A425}" name="aantal_OTM"/>
    <tableColumn id="14" xr3:uid="{C479D308-8E85-42A8-A0BE-08BF93FF727C}" name="delta"/>
    <tableColumn id="15" xr3:uid="{C074126E-CD0F-46C6-A371-7D20246C0FEE}" name="waarde_bezit_delta"/>
    <tableColumn id="16" xr3:uid="{1DE54A60-0E3D-4C93-8650-FB24CE518F80}" name="regio"/>
    <tableColumn id="17" xr3:uid="{E6F71B3A-AC44-4CB9-8FB4-7A8C6951F7B9}" name="sector"/>
    <tableColumn id="18" xr3:uid="{46D0F2ED-A9A3-428A-AB28-C4BEA74766DB}" name="value_gro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06F5-D24D-46D3-824C-012F9222A038}">
  <dimension ref="A1:R11"/>
  <sheetViews>
    <sheetView workbookViewId="0">
      <selection activeCell="I4" sqref="I4:I11"/>
    </sheetView>
  </sheetViews>
  <sheetFormatPr defaultRowHeight="14.5" x14ac:dyDescent="0.35"/>
  <cols>
    <col min="1" max="1" width="9.54296875" bestFit="1" customWidth="1"/>
    <col min="2" max="2" width="13.36328125" bestFit="1" customWidth="1"/>
    <col min="3" max="3" width="8.81640625" bestFit="1" customWidth="1"/>
    <col min="4" max="4" width="15.1796875" bestFit="1" customWidth="1"/>
    <col min="5" max="5" width="13.1796875" bestFit="1" customWidth="1"/>
    <col min="6" max="6" width="16.36328125" bestFit="1" customWidth="1"/>
    <col min="7" max="7" width="24.90625" bestFit="1" customWidth="1"/>
    <col min="8" max="8" width="11.453125" bestFit="1" customWidth="1"/>
    <col min="9" max="9" width="14.453125" bestFit="1" customWidth="1"/>
    <col min="10" max="10" width="13.6328125" bestFit="1" customWidth="1"/>
    <col min="11" max="11" width="12.6328125" bestFit="1" customWidth="1"/>
    <col min="12" max="12" width="14.453125" bestFit="1" customWidth="1"/>
    <col min="13" max="13" width="13.453125" bestFit="1" customWidth="1"/>
    <col min="14" max="14" width="8.81640625" bestFit="1" customWidth="1"/>
    <col min="15" max="15" width="19.90625" bestFit="1" customWidth="1"/>
    <col min="16" max="16" width="8.81640625" bestFit="1" customWidth="1"/>
    <col min="17" max="17" width="11.26953125" bestFit="1" customWidth="1"/>
    <col min="18" max="18" width="12.7265625" bestFit="1" customWidth="1"/>
  </cols>
  <sheetData>
    <row r="1" spans="1:18" x14ac:dyDescent="0.35">
      <c r="A1" s="7" t="s">
        <v>103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5">
      <c r="A4" t="s">
        <v>29</v>
      </c>
      <c r="B4" t="s">
        <v>81</v>
      </c>
      <c r="C4">
        <v>69.87</v>
      </c>
      <c r="D4" t="s">
        <v>26</v>
      </c>
      <c r="E4">
        <v>71</v>
      </c>
      <c r="F4" s="6">
        <v>46031</v>
      </c>
      <c r="G4">
        <v>-100</v>
      </c>
      <c r="H4">
        <v>-112.9999999999995</v>
      </c>
      <c r="I4">
        <v>7100</v>
      </c>
      <c r="J4">
        <v>7100</v>
      </c>
      <c r="K4">
        <v>-100</v>
      </c>
      <c r="N4">
        <v>-0.5</v>
      </c>
      <c r="O4">
        <v>3493.5</v>
      </c>
      <c r="P4" t="s">
        <v>33</v>
      </c>
      <c r="Q4" t="s">
        <v>22</v>
      </c>
      <c r="R4" t="s">
        <v>23</v>
      </c>
    </row>
    <row r="5" spans="1:18" x14ac:dyDescent="0.35">
      <c r="A5" t="s">
        <v>18</v>
      </c>
      <c r="B5" t="s">
        <v>30</v>
      </c>
      <c r="C5">
        <v>76.48</v>
      </c>
      <c r="D5" t="s">
        <v>26</v>
      </c>
      <c r="E5">
        <v>80</v>
      </c>
      <c r="F5" s="6">
        <v>46038</v>
      </c>
      <c r="G5">
        <v>-200</v>
      </c>
      <c r="H5">
        <v>-703.9999999999992</v>
      </c>
      <c r="I5">
        <v>16000</v>
      </c>
      <c r="J5">
        <v>16000</v>
      </c>
      <c r="K5">
        <v>-200</v>
      </c>
      <c r="N5">
        <v>-0.25</v>
      </c>
      <c r="O5">
        <v>3824</v>
      </c>
      <c r="P5" t="s">
        <v>31</v>
      </c>
      <c r="Q5" t="s">
        <v>22</v>
      </c>
      <c r="R5" t="s">
        <v>23</v>
      </c>
    </row>
    <row r="6" spans="1:18" x14ac:dyDescent="0.35">
      <c r="A6" t="s">
        <v>24</v>
      </c>
      <c r="B6" t="s">
        <v>28</v>
      </c>
      <c r="C6">
        <v>31.27</v>
      </c>
      <c r="D6" t="s">
        <v>26</v>
      </c>
      <c r="E6">
        <v>32</v>
      </c>
      <c r="F6" s="6">
        <v>46038</v>
      </c>
      <c r="G6">
        <v>-200</v>
      </c>
      <c r="H6">
        <v>-146.00000000000011</v>
      </c>
      <c r="I6">
        <v>6400</v>
      </c>
      <c r="J6">
        <v>6400</v>
      </c>
      <c r="K6">
        <v>-200</v>
      </c>
      <c r="N6">
        <v>-0.5</v>
      </c>
      <c r="O6">
        <v>3127</v>
      </c>
      <c r="P6" t="s">
        <v>21</v>
      </c>
      <c r="Q6" t="s">
        <v>22</v>
      </c>
      <c r="R6" t="s">
        <v>23</v>
      </c>
    </row>
    <row r="7" spans="1:18" x14ac:dyDescent="0.35">
      <c r="A7" t="s">
        <v>29</v>
      </c>
      <c r="B7" t="s">
        <v>81</v>
      </c>
      <c r="C7">
        <v>69.87</v>
      </c>
      <c r="D7" t="s">
        <v>26</v>
      </c>
      <c r="E7">
        <v>67.5</v>
      </c>
      <c r="F7" s="6">
        <v>46038</v>
      </c>
      <c r="G7">
        <v>-200</v>
      </c>
      <c r="H7">
        <v>0</v>
      </c>
      <c r="I7">
        <v>13500</v>
      </c>
      <c r="L7">
        <v>13500</v>
      </c>
      <c r="M7">
        <v>-200</v>
      </c>
      <c r="N7">
        <v>-0.25</v>
      </c>
      <c r="O7">
        <v>3493.5</v>
      </c>
      <c r="P7" t="s">
        <v>33</v>
      </c>
      <c r="Q7" t="s">
        <v>22</v>
      </c>
      <c r="R7" t="s">
        <v>23</v>
      </c>
    </row>
    <row r="8" spans="1:18" x14ac:dyDescent="0.35">
      <c r="A8" t="s">
        <v>24</v>
      </c>
      <c r="B8" t="s">
        <v>58</v>
      </c>
      <c r="C8">
        <v>34.520000000000003</v>
      </c>
      <c r="D8" t="s">
        <v>26</v>
      </c>
      <c r="E8">
        <v>36</v>
      </c>
      <c r="F8" s="6">
        <v>46038</v>
      </c>
      <c r="G8">
        <v>-900</v>
      </c>
      <c r="H8">
        <v>-1331.999999999997</v>
      </c>
      <c r="I8">
        <v>32400</v>
      </c>
      <c r="J8">
        <v>32400</v>
      </c>
      <c r="K8">
        <v>-900</v>
      </c>
      <c r="N8">
        <v>-0.25</v>
      </c>
      <c r="O8">
        <v>7767.0000000000009</v>
      </c>
      <c r="P8" t="s">
        <v>21</v>
      </c>
      <c r="Q8" t="s">
        <v>22</v>
      </c>
      <c r="R8" t="s">
        <v>23</v>
      </c>
    </row>
    <row r="9" spans="1:18" x14ac:dyDescent="0.35">
      <c r="A9" t="s">
        <v>18</v>
      </c>
      <c r="B9" t="s">
        <v>19</v>
      </c>
      <c r="C9">
        <v>68.28</v>
      </c>
      <c r="D9" t="s">
        <v>26</v>
      </c>
      <c r="E9">
        <v>72</v>
      </c>
      <c r="F9" s="6">
        <v>46038</v>
      </c>
      <c r="G9">
        <v>-200</v>
      </c>
      <c r="H9">
        <v>-743.99999999999977</v>
      </c>
      <c r="I9">
        <v>14400</v>
      </c>
      <c r="J9">
        <v>14400</v>
      </c>
      <c r="K9">
        <v>-200</v>
      </c>
      <c r="N9">
        <v>-0.75</v>
      </c>
      <c r="O9">
        <v>10242</v>
      </c>
      <c r="P9" t="s">
        <v>21</v>
      </c>
      <c r="Q9" t="s">
        <v>22</v>
      </c>
      <c r="R9" t="s">
        <v>23</v>
      </c>
    </row>
    <row r="10" spans="1:18" x14ac:dyDescent="0.35">
      <c r="A10" t="s">
        <v>24</v>
      </c>
      <c r="B10" t="s">
        <v>58</v>
      </c>
      <c r="C10">
        <v>34.520000000000003</v>
      </c>
      <c r="D10" t="s">
        <v>26</v>
      </c>
      <c r="E10">
        <v>35</v>
      </c>
      <c r="F10" s="6">
        <v>46038</v>
      </c>
      <c r="G10">
        <v>-300</v>
      </c>
      <c r="H10">
        <v>-143.99999999999909</v>
      </c>
      <c r="I10">
        <v>10500</v>
      </c>
      <c r="J10">
        <v>10500</v>
      </c>
      <c r="K10">
        <v>-300</v>
      </c>
      <c r="N10">
        <v>-0.5</v>
      </c>
      <c r="O10">
        <v>5178.0000000000009</v>
      </c>
      <c r="P10" t="s">
        <v>21</v>
      </c>
      <c r="Q10" t="s">
        <v>22</v>
      </c>
      <c r="R10" t="s">
        <v>23</v>
      </c>
    </row>
    <row r="11" spans="1:18" x14ac:dyDescent="0.35">
      <c r="A11" t="s">
        <v>24</v>
      </c>
      <c r="B11" t="s">
        <v>43</v>
      </c>
      <c r="C11">
        <v>88.24</v>
      </c>
      <c r="D11" t="s">
        <v>26</v>
      </c>
      <c r="E11">
        <v>90</v>
      </c>
      <c r="F11" s="6">
        <v>46038</v>
      </c>
      <c r="G11">
        <v>-100</v>
      </c>
      <c r="H11">
        <v>-176.00000000000051</v>
      </c>
      <c r="I11">
        <v>9000</v>
      </c>
      <c r="J11">
        <v>9000</v>
      </c>
      <c r="K11">
        <v>-100</v>
      </c>
      <c r="N11">
        <v>-0.5</v>
      </c>
      <c r="O11">
        <v>4412</v>
      </c>
      <c r="P11" t="s">
        <v>21</v>
      </c>
      <c r="Q11" t="s">
        <v>22</v>
      </c>
      <c r="R1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7C35-4C75-4945-BE03-656D01645EAC}">
  <dimension ref="A1:O38"/>
  <sheetViews>
    <sheetView tabSelected="1" workbookViewId="0">
      <selection activeCell="E33" sqref="E33"/>
    </sheetView>
  </sheetViews>
  <sheetFormatPr defaultRowHeight="14.5" x14ac:dyDescent="0.35"/>
  <cols>
    <col min="1" max="1" width="18.1796875" bestFit="1" customWidth="1"/>
    <col min="2" max="2" width="19.08984375" bestFit="1" customWidth="1"/>
    <col min="3" max="3" width="18.26953125" bestFit="1" customWidth="1"/>
    <col min="4" max="4" width="18.1796875" bestFit="1" customWidth="1"/>
    <col min="5" max="5" width="19.90625" bestFit="1" customWidth="1"/>
    <col min="6" max="14" width="18.26953125" bestFit="1" customWidth="1"/>
    <col min="15" max="15" width="9.453125" bestFit="1" customWidth="1"/>
  </cols>
  <sheetData>
    <row r="1" spans="1:15" x14ac:dyDescent="0.35">
      <c r="A1" s="3" t="s">
        <v>3</v>
      </c>
      <c r="B1" t="s">
        <v>26</v>
      </c>
    </row>
    <row r="2" spans="1:15" x14ac:dyDescent="0.35">
      <c r="L2" t="s">
        <v>106</v>
      </c>
    </row>
    <row r="3" spans="1:15" x14ac:dyDescent="0.35">
      <c r="A3" s="3" t="s">
        <v>100</v>
      </c>
      <c r="B3" t="s">
        <v>101</v>
      </c>
      <c r="D3" s="3" t="s">
        <v>100</v>
      </c>
      <c r="E3" t="s">
        <v>101</v>
      </c>
      <c r="G3" t="s">
        <v>100</v>
      </c>
      <c r="H3" t="s">
        <v>101</v>
      </c>
      <c r="I3" t="s">
        <v>104</v>
      </c>
      <c r="J3" t="s">
        <v>105</v>
      </c>
      <c r="L3" t="s">
        <v>100</v>
      </c>
      <c r="M3" t="s">
        <v>101</v>
      </c>
      <c r="N3" t="s">
        <v>104</v>
      </c>
      <c r="O3" t="s">
        <v>105</v>
      </c>
    </row>
    <row r="4" spans="1:15" x14ac:dyDescent="0.35">
      <c r="A4" s="4" t="s">
        <v>60</v>
      </c>
      <c r="B4" s="5">
        <v>86500</v>
      </c>
      <c r="D4" s="4" t="s">
        <v>60</v>
      </c>
      <c r="E4" s="5">
        <v>2142.56</v>
      </c>
      <c r="G4" t="s">
        <v>60</v>
      </c>
      <c r="H4">
        <f>B4</f>
        <v>86500</v>
      </c>
      <c r="I4">
        <f>E4</f>
        <v>2142.56</v>
      </c>
      <c r="J4">
        <f>I4+H4</f>
        <v>88642.559999999998</v>
      </c>
      <c r="L4" t="s">
        <v>34</v>
      </c>
      <c r="M4">
        <v>277450</v>
      </c>
      <c r="N4">
        <v>73466.2</v>
      </c>
      <c r="O4">
        <v>350916.2</v>
      </c>
    </row>
    <row r="5" spans="1:15" x14ac:dyDescent="0.35">
      <c r="A5" s="4" t="s">
        <v>34</v>
      </c>
      <c r="B5" s="5">
        <v>277450</v>
      </c>
      <c r="D5" s="4" t="s">
        <v>34</v>
      </c>
      <c r="E5" s="5">
        <v>73466.2</v>
      </c>
      <c r="G5" t="s">
        <v>34</v>
      </c>
      <c r="H5">
        <f>B5</f>
        <v>277450</v>
      </c>
      <c r="I5">
        <f>E5</f>
        <v>73466.2</v>
      </c>
      <c r="J5">
        <f>I5+H5</f>
        <v>350916.2</v>
      </c>
      <c r="L5" t="s">
        <v>22</v>
      </c>
      <c r="M5">
        <v>109300</v>
      </c>
      <c r="N5">
        <v>139633.19</v>
      </c>
      <c r="O5">
        <v>248933.19</v>
      </c>
    </row>
    <row r="6" spans="1:15" x14ac:dyDescent="0.35">
      <c r="A6" s="4" t="s">
        <v>48</v>
      </c>
      <c r="B6" s="5">
        <v>74100</v>
      </c>
      <c r="D6" s="4" t="s">
        <v>78</v>
      </c>
      <c r="E6" s="5">
        <v>12094.56</v>
      </c>
      <c r="G6" t="s">
        <v>78</v>
      </c>
      <c r="I6">
        <f>E6</f>
        <v>12094.56</v>
      </c>
      <c r="J6">
        <f>I6+H6</f>
        <v>12094.56</v>
      </c>
      <c r="L6" t="s">
        <v>39</v>
      </c>
      <c r="M6">
        <v>191500</v>
      </c>
      <c r="N6">
        <v>33607.300000000003</v>
      </c>
      <c r="O6">
        <v>225107.3</v>
      </c>
    </row>
    <row r="7" spans="1:15" x14ac:dyDescent="0.35">
      <c r="A7" s="4" t="s">
        <v>22</v>
      </c>
      <c r="B7" s="5">
        <v>109300</v>
      </c>
      <c r="D7" s="4" t="s">
        <v>48</v>
      </c>
      <c r="E7" s="5">
        <v>57523.72</v>
      </c>
      <c r="G7" t="s">
        <v>48</v>
      </c>
      <c r="H7">
        <f>B6</f>
        <v>74100</v>
      </c>
      <c r="I7">
        <f>E7</f>
        <v>57523.72</v>
      </c>
      <c r="J7">
        <f>I7+H7</f>
        <v>131623.72</v>
      </c>
      <c r="L7" t="s">
        <v>65</v>
      </c>
      <c r="M7">
        <v>135500</v>
      </c>
      <c r="N7">
        <v>43863</v>
      </c>
      <c r="O7">
        <v>179363</v>
      </c>
    </row>
    <row r="8" spans="1:15" x14ac:dyDescent="0.35">
      <c r="A8" s="4" t="s">
        <v>52</v>
      </c>
      <c r="B8" s="5">
        <v>37800</v>
      </c>
      <c r="D8" s="4" t="s">
        <v>22</v>
      </c>
      <c r="E8" s="5">
        <v>139633.19</v>
      </c>
      <c r="G8" t="s">
        <v>22</v>
      </c>
      <c r="H8">
        <f>B7</f>
        <v>109300</v>
      </c>
      <c r="I8">
        <f>E8</f>
        <v>139633.19</v>
      </c>
      <c r="J8">
        <f>I8+H8</f>
        <v>248933.19</v>
      </c>
      <c r="L8" t="s">
        <v>48</v>
      </c>
      <c r="M8">
        <v>74100</v>
      </c>
      <c r="N8">
        <v>57523.72</v>
      </c>
      <c r="O8">
        <v>131623.72</v>
      </c>
    </row>
    <row r="9" spans="1:15" x14ac:dyDescent="0.35">
      <c r="A9" s="4" t="s">
        <v>50</v>
      </c>
      <c r="B9" s="5">
        <v>25250</v>
      </c>
      <c r="D9" s="4" t="s">
        <v>52</v>
      </c>
      <c r="E9" s="5">
        <v>39669</v>
      </c>
      <c r="G9" t="s">
        <v>52</v>
      </c>
      <c r="H9">
        <f>B8</f>
        <v>37800</v>
      </c>
      <c r="I9">
        <f>E9</f>
        <v>39669</v>
      </c>
      <c r="J9">
        <f>I9+H9</f>
        <v>77469</v>
      </c>
      <c r="L9" t="s">
        <v>60</v>
      </c>
      <c r="M9">
        <v>86500</v>
      </c>
      <c r="N9">
        <v>2142.56</v>
      </c>
      <c r="O9">
        <v>88642.559999999998</v>
      </c>
    </row>
    <row r="10" spans="1:15" x14ac:dyDescent="0.35">
      <c r="A10" s="4" t="s">
        <v>46</v>
      </c>
      <c r="B10" s="5">
        <v>24100</v>
      </c>
      <c r="D10" s="4" t="s">
        <v>50</v>
      </c>
      <c r="E10" s="5">
        <v>3061.9</v>
      </c>
      <c r="G10" t="s">
        <v>50</v>
      </c>
      <c r="H10">
        <f>B9</f>
        <v>25250</v>
      </c>
      <c r="I10">
        <f>E10</f>
        <v>3061.9</v>
      </c>
      <c r="J10">
        <f>I10+H10</f>
        <v>28311.9</v>
      </c>
      <c r="L10" t="s">
        <v>27</v>
      </c>
      <c r="M10">
        <v>23850</v>
      </c>
      <c r="N10">
        <v>63391.040000000001</v>
      </c>
      <c r="O10">
        <v>87241.040000000008</v>
      </c>
    </row>
    <row r="11" spans="1:15" x14ac:dyDescent="0.35">
      <c r="A11" s="4" t="s">
        <v>39</v>
      </c>
      <c r="B11" s="5">
        <v>191500</v>
      </c>
      <c r="D11" s="4" t="s">
        <v>46</v>
      </c>
      <c r="E11" s="5">
        <v>4658</v>
      </c>
      <c r="G11" t="s">
        <v>46</v>
      </c>
      <c r="H11">
        <f>B10</f>
        <v>24100</v>
      </c>
      <c r="I11">
        <f>E11</f>
        <v>4658</v>
      </c>
      <c r="J11">
        <f>I11+H11</f>
        <v>28758</v>
      </c>
      <c r="L11" t="s">
        <v>52</v>
      </c>
      <c r="M11">
        <v>37800</v>
      </c>
      <c r="N11">
        <v>39669</v>
      </c>
      <c r="O11">
        <v>77469</v>
      </c>
    </row>
    <row r="12" spans="1:15" x14ac:dyDescent="0.35">
      <c r="A12" s="4" t="s">
        <v>76</v>
      </c>
      <c r="B12" s="5">
        <v>54800</v>
      </c>
      <c r="D12" s="4" t="s">
        <v>39</v>
      </c>
      <c r="E12" s="5">
        <v>33607.300000000003</v>
      </c>
      <c r="G12" t="s">
        <v>39</v>
      </c>
      <c r="H12">
        <f>B11</f>
        <v>191500</v>
      </c>
      <c r="I12">
        <f>E12</f>
        <v>33607.300000000003</v>
      </c>
      <c r="J12">
        <f>I12+H12</f>
        <v>225107.3</v>
      </c>
      <c r="L12" t="s">
        <v>76</v>
      </c>
      <c r="M12">
        <v>54800</v>
      </c>
      <c r="N12">
        <v>883.95999999999992</v>
      </c>
      <c r="O12">
        <v>55683.96</v>
      </c>
    </row>
    <row r="13" spans="1:15" x14ac:dyDescent="0.35">
      <c r="A13" s="4" t="s">
        <v>65</v>
      </c>
      <c r="B13" s="5">
        <v>135500</v>
      </c>
      <c r="D13" s="4" t="s">
        <v>76</v>
      </c>
      <c r="E13" s="5">
        <v>883.95999999999992</v>
      </c>
      <c r="G13" t="s">
        <v>76</v>
      </c>
      <c r="H13">
        <f>B12</f>
        <v>54800</v>
      </c>
      <c r="I13">
        <f>E13</f>
        <v>883.95999999999992</v>
      </c>
      <c r="J13">
        <f>I13+H13</f>
        <v>55683.96</v>
      </c>
      <c r="L13" t="s">
        <v>46</v>
      </c>
      <c r="M13">
        <v>24100</v>
      </c>
      <c r="N13">
        <v>4658</v>
      </c>
      <c r="O13">
        <v>28758</v>
      </c>
    </row>
    <row r="14" spans="1:15" x14ac:dyDescent="0.35">
      <c r="A14" s="4" t="s">
        <v>27</v>
      </c>
      <c r="B14" s="5">
        <v>23850</v>
      </c>
      <c r="D14" s="4" t="s">
        <v>65</v>
      </c>
      <c r="E14" s="5">
        <v>43863</v>
      </c>
      <c r="G14" t="s">
        <v>65</v>
      </c>
      <c r="H14">
        <f>B13</f>
        <v>135500</v>
      </c>
      <c r="I14">
        <f>E14</f>
        <v>43863</v>
      </c>
      <c r="J14">
        <f>I14+H14</f>
        <v>179363</v>
      </c>
      <c r="L14" t="s">
        <v>50</v>
      </c>
      <c r="M14">
        <v>25250</v>
      </c>
      <c r="N14">
        <v>3061.9</v>
      </c>
      <c r="O14">
        <v>28311.9</v>
      </c>
    </row>
    <row r="15" spans="1:15" x14ac:dyDescent="0.35">
      <c r="A15" s="4" t="s">
        <v>99</v>
      </c>
      <c r="B15" s="5">
        <v>1040150</v>
      </c>
      <c r="D15" s="4" t="s">
        <v>27</v>
      </c>
      <c r="E15" s="5">
        <v>63391.040000000001</v>
      </c>
      <c r="G15" t="s">
        <v>27</v>
      </c>
      <c r="H15">
        <f>B14</f>
        <v>23850</v>
      </c>
      <c r="I15">
        <f>E15</f>
        <v>63391.040000000001</v>
      </c>
      <c r="J15">
        <f>I15+H15</f>
        <v>87241.040000000008</v>
      </c>
      <c r="L15" t="s">
        <v>78</v>
      </c>
      <c r="N15">
        <v>12094.56</v>
      </c>
      <c r="O15">
        <v>12094.56</v>
      </c>
    </row>
    <row r="16" spans="1:15" x14ac:dyDescent="0.35">
      <c r="D16" s="4" t="s">
        <v>99</v>
      </c>
      <c r="E16" s="5">
        <v>473994.43</v>
      </c>
    </row>
    <row r="22" spans="1:8" x14ac:dyDescent="0.35">
      <c r="A22" s="3" t="s">
        <v>3</v>
      </c>
      <c r="B22" t="s">
        <v>102</v>
      </c>
    </row>
    <row r="24" spans="1:8" x14ac:dyDescent="0.35">
      <c r="A24" s="3" t="s">
        <v>100</v>
      </c>
      <c r="B24" t="s">
        <v>107</v>
      </c>
    </row>
    <row r="25" spans="1:8" x14ac:dyDescent="0.35">
      <c r="A25" s="4" t="s">
        <v>60</v>
      </c>
      <c r="B25" s="5"/>
      <c r="D25" t="s">
        <v>60</v>
      </c>
      <c r="E25">
        <v>2142.56</v>
      </c>
      <c r="G25" t="s">
        <v>60</v>
      </c>
    </row>
    <row r="26" spans="1:8" x14ac:dyDescent="0.35">
      <c r="A26" s="4" t="s">
        <v>34</v>
      </c>
      <c r="B26" s="5">
        <v>57150</v>
      </c>
      <c r="D26" t="s">
        <v>34</v>
      </c>
      <c r="E26">
        <v>73466.2</v>
      </c>
      <c r="G26" t="s">
        <v>34</v>
      </c>
      <c r="H26">
        <v>57150</v>
      </c>
    </row>
    <row r="27" spans="1:8" x14ac:dyDescent="0.35">
      <c r="A27" s="4" t="s">
        <v>78</v>
      </c>
      <c r="B27" s="5"/>
      <c r="D27" t="s">
        <v>78</v>
      </c>
      <c r="E27">
        <v>12094.56</v>
      </c>
      <c r="G27" t="s">
        <v>78</v>
      </c>
    </row>
    <row r="28" spans="1:8" x14ac:dyDescent="0.35">
      <c r="A28" s="4" t="s">
        <v>48</v>
      </c>
      <c r="B28" s="5">
        <v>47100</v>
      </c>
      <c r="D28" t="s">
        <v>48</v>
      </c>
      <c r="E28">
        <v>57523.72</v>
      </c>
      <c r="G28" t="s">
        <v>48</v>
      </c>
      <c r="H28">
        <v>47100</v>
      </c>
    </row>
    <row r="29" spans="1:8" x14ac:dyDescent="0.35">
      <c r="A29" s="4" t="s">
        <v>22</v>
      </c>
      <c r="B29" s="5">
        <v>88200</v>
      </c>
      <c r="D29" t="s">
        <v>22</v>
      </c>
      <c r="E29">
        <v>139633.19</v>
      </c>
      <c r="G29" t="s">
        <v>22</v>
      </c>
      <c r="H29">
        <v>88200</v>
      </c>
    </row>
    <row r="30" spans="1:8" x14ac:dyDescent="0.35">
      <c r="A30" s="4" t="s">
        <v>52</v>
      </c>
      <c r="B30" s="5">
        <v>7700</v>
      </c>
      <c r="D30" t="s">
        <v>52</v>
      </c>
      <c r="E30">
        <v>39669</v>
      </c>
      <c r="G30" t="s">
        <v>52</v>
      </c>
      <c r="H30">
        <v>7700</v>
      </c>
    </row>
    <row r="31" spans="1:8" x14ac:dyDescent="0.35">
      <c r="A31" s="4" t="s">
        <v>50</v>
      </c>
      <c r="B31" s="5">
        <v>-4600</v>
      </c>
      <c r="D31" t="s">
        <v>50</v>
      </c>
      <c r="E31">
        <v>3061.9</v>
      </c>
      <c r="G31" t="s">
        <v>50</v>
      </c>
      <c r="H31">
        <v>-4600</v>
      </c>
    </row>
    <row r="32" spans="1:8" x14ac:dyDescent="0.35">
      <c r="A32" s="4" t="s">
        <v>46</v>
      </c>
      <c r="B32" s="5">
        <v>9850</v>
      </c>
      <c r="D32" t="s">
        <v>46</v>
      </c>
      <c r="E32">
        <v>4658</v>
      </c>
      <c r="G32" t="s">
        <v>46</v>
      </c>
      <c r="H32">
        <v>9850</v>
      </c>
    </row>
    <row r="33" spans="1:8" x14ac:dyDescent="0.35">
      <c r="A33" s="4" t="s">
        <v>39</v>
      </c>
      <c r="B33" s="5"/>
      <c r="D33" t="s">
        <v>39</v>
      </c>
      <c r="E33">
        <v>33607.300000000003</v>
      </c>
      <c r="G33" t="s">
        <v>39</v>
      </c>
    </row>
    <row r="34" spans="1:8" x14ac:dyDescent="0.35">
      <c r="A34" s="4" t="s">
        <v>76</v>
      </c>
      <c r="B34" s="5"/>
      <c r="D34" t="s">
        <v>76</v>
      </c>
      <c r="E34">
        <v>883.95999999999992</v>
      </c>
      <c r="G34" t="s">
        <v>76</v>
      </c>
    </row>
    <row r="35" spans="1:8" x14ac:dyDescent="0.35">
      <c r="A35" s="4" t="s">
        <v>65</v>
      </c>
      <c r="B35" s="5">
        <v>42100</v>
      </c>
      <c r="D35" t="s">
        <v>65</v>
      </c>
      <c r="E35">
        <v>43863</v>
      </c>
      <c r="G35" t="s">
        <v>65</v>
      </c>
      <c r="H35">
        <v>42100</v>
      </c>
    </row>
    <row r="36" spans="1:8" x14ac:dyDescent="0.35">
      <c r="A36" s="4" t="s">
        <v>27</v>
      </c>
      <c r="B36" s="5">
        <v>-12650</v>
      </c>
      <c r="D36" t="s">
        <v>27</v>
      </c>
      <c r="E36">
        <v>63391.040000000001</v>
      </c>
      <c r="G36" t="s">
        <v>27</v>
      </c>
      <c r="H36">
        <v>-12650</v>
      </c>
    </row>
    <row r="37" spans="1:8" x14ac:dyDescent="0.35">
      <c r="A37" s="4" t="s">
        <v>98</v>
      </c>
      <c r="B37" s="5"/>
      <c r="G37" t="s">
        <v>98</v>
      </c>
    </row>
    <row r="38" spans="1:8" x14ac:dyDescent="0.35">
      <c r="A38" s="4" t="s">
        <v>99</v>
      </c>
      <c r="B38" s="5">
        <v>234850</v>
      </c>
    </row>
  </sheetData>
  <autoFilter ref="L3:O15" xr:uid="{11F97C35-4C75-4945-BE03-656D01645EAC}">
    <sortState xmlns:xlrd2="http://schemas.microsoft.com/office/spreadsheetml/2017/richdata2" ref="L4:O15">
      <sortCondition descending="1" ref="O3:O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0"/>
  <sheetViews>
    <sheetView workbookViewId="0">
      <selection activeCell="P106" sqref="P106"/>
    </sheetView>
  </sheetViews>
  <sheetFormatPr defaultRowHeight="14.5" x14ac:dyDescent="0.35"/>
  <cols>
    <col min="1" max="1" width="9.54296875" bestFit="1" customWidth="1"/>
    <col min="2" max="2" width="12.54296875" bestFit="1" customWidth="1"/>
    <col min="3" max="3" width="6.81640625" bestFit="1" customWidth="1"/>
    <col min="4" max="4" width="12.90625" bestFit="1" customWidth="1"/>
    <col min="5" max="5" width="10.90625" bestFit="1" customWidth="1"/>
    <col min="6" max="6" width="17.81640625" bestFit="1" customWidth="1"/>
    <col min="7" max="7" width="22.6328125" bestFit="1" customWidth="1"/>
    <col min="8" max="8" width="9.1796875" bestFit="1" customWidth="1"/>
    <col min="9" max="9" width="12.1796875" bestFit="1" customWidth="1"/>
    <col min="10" max="10" width="11.36328125" bestFit="1" customWidth="1"/>
    <col min="11" max="11" width="10.36328125" bestFit="1" customWidth="1"/>
    <col min="12" max="12" width="12.1796875" bestFit="1" customWidth="1"/>
    <col min="13" max="13" width="11.1796875" bestFit="1" customWidth="1"/>
    <col min="14" max="14" width="5.453125" bestFit="1" customWidth="1"/>
    <col min="15" max="15" width="17.6328125" bestFit="1" customWidth="1"/>
    <col min="16" max="16" width="5" bestFit="1" customWidth="1"/>
    <col min="17" max="17" width="18.1796875" bestFit="1" customWidth="1"/>
    <col min="18" max="18" width="10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5">
      <c r="A2" t="s">
        <v>18</v>
      </c>
      <c r="B2" t="s">
        <v>19</v>
      </c>
      <c r="C2">
        <v>68.28</v>
      </c>
      <c r="D2" t="s">
        <v>20</v>
      </c>
      <c r="E2">
        <v>74</v>
      </c>
      <c r="F2" s="2">
        <v>46038</v>
      </c>
      <c r="G2">
        <v>-200</v>
      </c>
      <c r="H2">
        <v>0</v>
      </c>
      <c r="I2">
        <v>-14800</v>
      </c>
      <c r="L2">
        <v>-14800</v>
      </c>
      <c r="M2">
        <v>-200</v>
      </c>
      <c r="N2">
        <v>0.25</v>
      </c>
      <c r="O2">
        <v>-3414</v>
      </c>
      <c r="P2" t="s">
        <v>21</v>
      </c>
      <c r="Q2" t="s">
        <v>22</v>
      </c>
      <c r="R2" t="s">
        <v>23</v>
      </c>
    </row>
    <row r="3" spans="1:18" hidden="1" x14ac:dyDescent="0.35">
      <c r="A3" t="s">
        <v>24</v>
      </c>
      <c r="B3" t="s">
        <v>25</v>
      </c>
      <c r="C3">
        <v>92.2</v>
      </c>
      <c r="D3" t="s">
        <v>26</v>
      </c>
      <c r="E3">
        <v>91</v>
      </c>
      <c r="F3" s="2">
        <v>46038</v>
      </c>
      <c r="G3">
        <v>-100</v>
      </c>
      <c r="H3">
        <v>0</v>
      </c>
      <c r="I3">
        <v>9100</v>
      </c>
      <c r="L3">
        <v>9100</v>
      </c>
      <c r="M3">
        <v>-100</v>
      </c>
      <c r="N3">
        <v>-0.5</v>
      </c>
      <c r="O3">
        <v>4610</v>
      </c>
      <c r="P3" t="s">
        <v>21</v>
      </c>
      <c r="Q3" t="s">
        <v>27</v>
      </c>
      <c r="R3" t="s">
        <v>23</v>
      </c>
    </row>
    <row r="4" spans="1:18" hidden="1" x14ac:dyDescent="0.35">
      <c r="A4" t="s">
        <v>24</v>
      </c>
      <c r="B4" t="s">
        <v>28</v>
      </c>
      <c r="C4">
        <v>31.27</v>
      </c>
      <c r="D4" t="s">
        <v>26</v>
      </c>
      <c r="E4">
        <v>32</v>
      </c>
      <c r="F4" s="2">
        <v>46038</v>
      </c>
      <c r="G4">
        <v>-200</v>
      </c>
      <c r="H4">
        <v>-146.00000000000011</v>
      </c>
      <c r="I4">
        <v>6400</v>
      </c>
      <c r="J4">
        <v>6400</v>
      </c>
      <c r="K4">
        <v>-200</v>
      </c>
      <c r="N4">
        <v>-0.5</v>
      </c>
      <c r="O4">
        <v>3127</v>
      </c>
      <c r="P4" t="s">
        <v>21</v>
      </c>
      <c r="Q4" t="s">
        <v>22</v>
      </c>
      <c r="R4" t="s">
        <v>23</v>
      </c>
    </row>
    <row r="5" spans="1:18" hidden="1" x14ac:dyDescent="0.35">
      <c r="A5" t="s">
        <v>18</v>
      </c>
      <c r="B5" t="s">
        <v>25</v>
      </c>
      <c r="C5">
        <v>92.2</v>
      </c>
      <c r="D5" t="s">
        <v>26</v>
      </c>
      <c r="E5">
        <v>90</v>
      </c>
      <c r="F5" s="2">
        <v>46038</v>
      </c>
      <c r="G5">
        <v>-100</v>
      </c>
      <c r="H5">
        <v>0</v>
      </c>
      <c r="I5">
        <v>9000</v>
      </c>
      <c r="L5">
        <v>9000</v>
      </c>
      <c r="M5">
        <v>-100</v>
      </c>
      <c r="N5">
        <v>-0.5</v>
      </c>
      <c r="O5">
        <v>4610</v>
      </c>
      <c r="P5" t="s">
        <v>21</v>
      </c>
      <c r="Q5" t="s">
        <v>27</v>
      </c>
      <c r="R5" t="s">
        <v>23</v>
      </c>
    </row>
    <row r="6" spans="1:18" hidden="1" x14ac:dyDescent="0.35">
      <c r="A6" t="s">
        <v>29</v>
      </c>
      <c r="B6" t="s">
        <v>30</v>
      </c>
      <c r="C6">
        <v>76.48</v>
      </c>
      <c r="D6" t="s">
        <v>20</v>
      </c>
      <c r="E6">
        <v>76</v>
      </c>
      <c r="F6" s="2">
        <v>46038</v>
      </c>
      <c r="G6">
        <v>-100</v>
      </c>
      <c r="H6">
        <v>-48.000000000000398</v>
      </c>
      <c r="I6">
        <v>-7600</v>
      </c>
      <c r="J6">
        <v>-7600</v>
      </c>
      <c r="K6">
        <v>-100</v>
      </c>
      <c r="N6">
        <v>0.5</v>
      </c>
      <c r="O6">
        <v>-3824</v>
      </c>
      <c r="P6" t="s">
        <v>31</v>
      </c>
      <c r="Q6" t="s">
        <v>22</v>
      </c>
      <c r="R6" t="s">
        <v>23</v>
      </c>
    </row>
    <row r="7" spans="1:18" hidden="1" x14ac:dyDescent="0.35">
      <c r="A7" t="s">
        <v>24</v>
      </c>
      <c r="B7" t="s">
        <v>32</v>
      </c>
      <c r="C7">
        <v>89.06</v>
      </c>
      <c r="D7" t="s">
        <v>20</v>
      </c>
      <c r="E7">
        <v>88</v>
      </c>
      <c r="F7" s="2">
        <v>46024</v>
      </c>
      <c r="G7">
        <v>-100</v>
      </c>
      <c r="H7">
        <v>-106.0000000000002</v>
      </c>
      <c r="I7">
        <v>-8800</v>
      </c>
      <c r="J7">
        <v>-8800</v>
      </c>
      <c r="K7">
        <v>-100</v>
      </c>
      <c r="N7">
        <v>0.5</v>
      </c>
      <c r="O7">
        <v>-4453</v>
      </c>
      <c r="P7" t="s">
        <v>33</v>
      </c>
      <c r="Q7" t="s">
        <v>34</v>
      </c>
      <c r="R7" t="s">
        <v>35</v>
      </c>
    </row>
    <row r="8" spans="1:18" hidden="1" x14ac:dyDescent="0.35">
      <c r="A8" t="s">
        <v>29</v>
      </c>
      <c r="B8" t="s">
        <v>36</v>
      </c>
      <c r="C8">
        <v>684</v>
      </c>
      <c r="D8" t="s">
        <v>26</v>
      </c>
      <c r="E8">
        <v>600</v>
      </c>
      <c r="F8" s="2">
        <v>46101</v>
      </c>
      <c r="G8">
        <v>-100</v>
      </c>
      <c r="H8">
        <v>0</v>
      </c>
      <c r="I8">
        <v>60000</v>
      </c>
      <c r="L8">
        <v>60000</v>
      </c>
      <c r="M8">
        <v>-100</v>
      </c>
      <c r="N8">
        <v>-0.25</v>
      </c>
      <c r="O8">
        <v>17100</v>
      </c>
      <c r="P8" t="s">
        <v>33</v>
      </c>
      <c r="Q8" t="s">
        <v>37</v>
      </c>
      <c r="R8" t="s">
        <v>23</v>
      </c>
    </row>
    <row r="9" spans="1:18" x14ac:dyDescent="0.35">
      <c r="A9" t="s">
        <v>18</v>
      </c>
      <c r="B9" t="s">
        <v>38</v>
      </c>
      <c r="C9">
        <v>515.4</v>
      </c>
      <c r="D9" t="s">
        <v>26</v>
      </c>
      <c r="E9">
        <v>500</v>
      </c>
      <c r="F9" s="2">
        <v>46024</v>
      </c>
      <c r="G9">
        <v>-100</v>
      </c>
      <c r="H9">
        <v>0</v>
      </c>
      <c r="I9">
        <v>50000</v>
      </c>
      <c r="L9">
        <v>50000</v>
      </c>
      <c r="M9">
        <v>-100</v>
      </c>
      <c r="N9">
        <v>-0.25</v>
      </c>
      <c r="O9">
        <v>12885</v>
      </c>
      <c r="P9" t="s">
        <v>21</v>
      </c>
      <c r="Q9" t="s">
        <v>39</v>
      </c>
      <c r="R9" t="s">
        <v>40</v>
      </c>
    </row>
    <row r="10" spans="1:18" x14ac:dyDescent="0.35">
      <c r="A10" t="s">
        <v>29</v>
      </c>
      <c r="B10" t="s">
        <v>41</v>
      </c>
      <c r="C10">
        <v>36.67</v>
      </c>
      <c r="D10" t="s">
        <v>26</v>
      </c>
      <c r="E10">
        <v>34</v>
      </c>
      <c r="F10" s="2">
        <v>46038</v>
      </c>
      <c r="G10">
        <v>-200</v>
      </c>
      <c r="H10">
        <v>0</v>
      </c>
      <c r="I10">
        <v>6800</v>
      </c>
      <c r="L10">
        <v>6800</v>
      </c>
      <c r="M10">
        <v>-200</v>
      </c>
      <c r="N10">
        <v>-0.25</v>
      </c>
      <c r="O10">
        <v>1833.5</v>
      </c>
      <c r="P10" t="s">
        <v>42</v>
      </c>
      <c r="Q10" t="s">
        <v>39</v>
      </c>
      <c r="R10" t="s">
        <v>40</v>
      </c>
    </row>
    <row r="11" spans="1:18" hidden="1" x14ac:dyDescent="0.35">
      <c r="A11" t="s">
        <v>24</v>
      </c>
      <c r="B11" t="s">
        <v>43</v>
      </c>
      <c r="C11">
        <v>88.24</v>
      </c>
      <c r="D11" t="s">
        <v>26</v>
      </c>
      <c r="E11">
        <v>90</v>
      </c>
      <c r="F11" s="2">
        <v>46038</v>
      </c>
      <c r="G11">
        <v>-100</v>
      </c>
      <c r="H11">
        <v>-176.00000000000051</v>
      </c>
      <c r="I11">
        <v>9000</v>
      </c>
      <c r="J11">
        <v>9000</v>
      </c>
      <c r="K11">
        <v>-100</v>
      </c>
      <c r="N11">
        <v>-0.5</v>
      </c>
      <c r="O11">
        <v>4412</v>
      </c>
      <c r="P11" t="s">
        <v>21</v>
      </c>
      <c r="Q11" t="s">
        <v>22</v>
      </c>
      <c r="R11" t="s">
        <v>23</v>
      </c>
    </row>
    <row r="12" spans="1:18" hidden="1" x14ac:dyDescent="0.35">
      <c r="A12" t="s">
        <v>29</v>
      </c>
      <c r="B12" t="s">
        <v>44</v>
      </c>
      <c r="C12">
        <v>79.930000000000007</v>
      </c>
      <c r="D12" t="s">
        <v>20</v>
      </c>
      <c r="E12">
        <v>80</v>
      </c>
      <c r="F12" s="2">
        <v>46038</v>
      </c>
      <c r="G12">
        <v>-100</v>
      </c>
      <c r="H12">
        <v>0</v>
      </c>
      <c r="I12">
        <v>-8000</v>
      </c>
      <c r="L12">
        <v>-8000</v>
      </c>
      <c r="M12">
        <v>-100</v>
      </c>
      <c r="N12">
        <v>0.5</v>
      </c>
      <c r="O12">
        <v>-3996.5</v>
      </c>
      <c r="P12" t="s">
        <v>33</v>
      </c>
      <c r="Q12" t="s">
        <v>22</v>
      </c>
      <c r="R12" t="s">
        <v>23</v>
      </c>
    </row>
    <row r="13" spans="1:18" hidden="1" x14ac:dyDescent="0.35">
      <c r="A13" t="s">
        <v>24</v>
      </c>
      <c r="B13" t="s">
        <v>45</v>
      </c>
      <c r="C13">
        <v>100.19</v>
      </c>
      <c r="D13" t="s">
        <v>26</v>
      </c>
      <c r="E13">
        <v>100</v>
      </c>
      <c r="F13" s="2">
        <v>46017</v>
      </c>
      <c r="G13">
        <v>-100</v>
      </c>
      <c r="H13">
        <v>0</v>
      </c>
      <c r="I13">
        <v>10000</v>
      </c>
      <c r="L13">
        <v>10000</v>
      </c>
      <c r="M13">
        <v>-100</v>
      </c>
      <c r="N13">
        <v>-0.5</v>
      </c>
      <c r="O13">
        <v>5009.5</v>
      </c>
      <c r="P13" t="s">
        <v>33</v>
      </c>
      <c r="Q13" t="s">
        <v>46</v>
      </c>
      <c r="R13" t="s">
        <v>23</v>
      </c>
    </row>
    <row r="14" spans="1:18" hidden="1" x14ac:dyDescent="0.35">
      <c r="A14" t="s">
        <v>18</v>
      </c>
      <c r="B14" t="s">
        <v>47</v>
      </c>
      <c r="C14">
        <v>92.86</v>
      </c>
      <c r="D14" t="s">
        <v>26</v>
      </c>
      <c r="E14">
        <v>90</v>
      </c>
      <c r="F14" s="2">
        <v>46038</v>
      </c>
      <c r="G14">
        <v>-300</v>
      </c>
      <c r="H14">
        <v>0</v>
      </c>
      <c r="I14">
        <v>27000</v>
      </c>
      <c r="L14">
        <v>27000</v>
      </c>
      <c r="M14">
        <v>-300</v>
      </c>
      <c r="N14">
        <v>-0.25</v>
      </c>
      <c r="O14">
        <v>6964.5</v>
      </c>
      <c r="P14" t="s">
        <v>42</v>
      </c>
      <c r="Q14" t="s">
        <v>48</v>
      </c>
      <c r="R14" t="s">
        <v>23</v>
      </c>
    </row>
    <row r="15" spans="1:18" hidden="1" x14ac:dyDescent="0.35">
      <c r="A15" t="s">
        <v>18</v>
      </c>
      <c r="B15" t="s">
        <v>49</v>
      </c>
      <c r="C15">
        <v>23.925000000000001</v>
      </c>
      <c r="D15" t="s">
        <v>26</v>
      </c>
      <c r="E15">
        <v>22.5</v>
      </c>
      <c r="F15" s="2">
        <v>46038</v>
      </c>
      <c r="G15">
        <v>-500</v>
      </c>
      <c r="H15">
        <v>0</v>
      </c>
      <c r="I15">
        <v>11250</v>
      </c>
      <c r="L15">
        <v>11250</v>
      </c>
      <c r="M15">
        <v>-500</v>
      </c>
      <c r="N15">
        <v>-0.25</v>
      </c>
      <c r="O15">
        <v>2990.625</v>
      </c>
      <c r="P15" t="s">
        <v>21</v>
      </c>
      <c r="Q15" t="s">
        <v>50</v>
      </c>
      <c r="R15" t="s">
        <v>23</v>
      </c>
    </row>
    <row r="16" spans="1:18" hidden="1" x14ac:dyDescent="0.35">
      <c r="A16" t="s">
        <v>24</v>
      </c>
      <c r="B16" t="s">
        <v>51</v>
      </c>
      <c r="C16">
        <v>93.41</v>
      </c>
      <c r="D16" t="s">
        <v>20</v>
      </c>
      <c r="E16">
        <v>88</v>
      </c>
      <c r="F16" s="2">
        <v>46017</v>
      </c>
      <c r="G16">
        <v>-100</v>
      </c>
      <c r="H16">
        <v>-540.99999999999966</v>
      </c>
      <c r="I16">
        <v>-8800</v>
      </c>
      <c r="J16">
        <v>-8800</v>
      </c>
      <c r="K16">
        <v>-100</v>
      </c>
      <c r="N16">
        <v>0.75</v>
      </c>
      <c r="O16">
        <v>-7005.75</v>
      </c>
      <c r="P16" t="s">
        <v>33</v>
      </c>
      <c r="Q16" t="s">
        <v>52</v>
      </c>
      <c r="R16" t="s">
        <v>35</v>
      </c>
    </row>
    <row r="17" spans="1:18" hidden="1" x14ac:dyDescent="0.35">
      <c r="A17" t="s">
        <v>24</v>
      </c>
      <c r="B17" t="s">
        <v>53</v>
      </c>
      <c r="C17">
        <v>52.72</v>
      </c>
      <c r="D17" t="s">
        <v>26</v>
      </c>
      <c r="E17">
        <v>56</v>
      </c>
      <c r="F17" s="2">
        <v>46038</v>
      </c>
      <c r="G17">
        <v>-200</v>
      </c>
      <c r="H17">
        <v>-656.00000000000023</v>
      </c>
      <c r="I17">
        <v>11200</v>
      </c>
      <c r="J17">
        <v>11200</v>
      </c>
      <c r="K17">
        <v>-200</v>
      </c>
      <c r="N17">
        <v>-0.75</v>
      </c>
      <c r="O17">
        <v>7908</v>
      </c>
      <c r="P17" t="s">
        <v>21</v>
      </c>
      <c r="Q17" t="s">
        <v>34</v>
      </c>
      <c r="R17" t="s">
        <v>35</v>
      </c>
    </row>
    <row r="18" spans="1:18" x14ac:dyDescent="0.35">
      <c r="A18" t="s">
        <v>18</v>
      </c>
      <c r="B18" t="s">
        <v>54</v>
      </c>
      <c r="C18">
        <v>131.9</v>
      </c>
      <c r="D18" t="s">
        <v>20</v>
      </c>
      <c r="E18">
        <v>135</v>
      </c>
      <c r="F18" s="2">
        <v>46024</v>
      </c>
      <c r="G18">
        <v>-100</v>
      </c>
      <c r="H18">
        <v>0</v>
      </c>
      <c r="I18">
        <v>-13500</v>
      </c>
      <c r="L18">
        <v>-13500</v>
      </c>
      <c r="M18">
        <v>-100</v>
      </c>
      <c r="N18">
        <v>0.5</v>
      </c>
      <c r="O18">
        <v>-6595</v>
      </c>
      <c r="P18" t="s">
        <v>21</v>
      </c>
      <c r="Q18" t="s">
        <v>39</v>
      </c>
      <c r="R18" t="s">
        <v>40</v>
      </c>
    </row>
    <row r="19" spans="1:18" x14ac:dyDescent="0.35">
      <c r="A19" t="s">
        <v>29</v>
      </c>
      <c r="B19" t="s">
        <v>41</v>
      </c>
      <c r="C19">
        <v>36.67</v>
      </c>
      <c r="D19" t="s">
        <v>26</v>
      </c>
      <c r="E19">
        <v>35</v>
      </c>
      <c r="F19" s="2">
        <v>46038</v>
      </c>
      <c r="G19">
        <v>-200</v>
      </c>
      <c r="H19">
        <v>0</v>
      </c>
      <c r="I19">
        <v>7000</v>
      </c>
      <c r="L19">
        <v>7000</v>
      </c>
      <c r="M19">
        <v>-200</v>
      </c>
      <c r="N19">
        <v>-0.25</v>
      </c>
      <c r="O19">
        <v>1833.5</v>
      </c>
      <c r="P19" t="s">
        <v>42</v>
      </c>
      <c r="Q19" t="s">
        <v>39</v>
      </c>
      <c r="R19" t="s">
        <v>40</v>
      </c>
    </row>
    <row r="20" spans="1:18" hidden="1" x14ac:dyDescent="0.35">
      <c r="A20" t="s">
        <v>29</v>
      </c>
      <c r="B20" t="s">
        <v>55</v>
      </c>
      <c r="C20">
        <v>255</v>
      </c>
      <c r="D20" t="s">
        <v>26</v>
      </c>
      <c r="E20">
        <v>222</v>
      </c>
      <c r="F20" s="2">
        <v>46101</v>
      </c>
      <c r="G20">
        <v>-1000</v>
      </c>
      <c r="H20">
        <v>0</v>
      </c>
      <c r="I20">
        <v>222000</v>
      </c>
      <c r="L20">
        <v>222000</v>
      </c>
      <c r="M20">
        <v>-1000</v>
      </c>
      <c r="N20">
        <v>-0.25</v>
      </c>
      <c r="O20">
        <v>63750</v>
      </c>
      <c r="P20" t="s">
        <v>33</v>
      </c>
      <c r="Q20" t="s">
        <v>37</v>
      </c>
      <c r="R20" t="s">
        <v>23</v>
      </c>
    </row>
    <row r="21" spans="1:18" hidden="1" x14ac:dyDescent="0.35">
      <c r="A21" t="s">
        <v>29</v>
      </c>
      <c r="B21" t="s">
        <v>56</v>
      </c>
      <c r="C21">
        <v>90.03</v>
      </c>
      <c r="D21" t="s">
        <v>26</v>
      </c>
      <c r="E21">
        <v>93</v>
      </c>
      <c r="F21" s="2">
        <v>46017</v>
      </c>
      <c r="G21">
        <v>-200</v>
      </c>
      <c r="H21">
        <v>-593.99999999999977</v>
      </c>
      <c r="I21">
        <v>18600</v>
      </c>
      <c r="J21">
        <v>18600</v>
      </c>
      <c r="K21">
        <v>-200</v>
      </c>
      <c r="N21">
        <v>-0.25</v>
      </c>
      <c r="O21">
        <v>4501.5</v>
      </c>
      <c r="P21" t="s">
        <v>33</v>
      </c>
      <c r="Q21" t="s">
        <v>34</v>
      </c>
      <c r="R21" t="s">
        <v>35</v>
      </c>
    </row>
    <row r="22" spans="1:18" hidden="1" x14ac:dyDescent="0.35">
      <c r="A22" t="s">
        <v>18</v>
      </c>
      <c r="B22" t="s">
        <v>53</v>
      </c>
      <c r="C22">
        <v>52.72</v>
      </c>
      <c r="D22" t="s">
        <v>26</v>
      </c>
      <c r="E22">
        <v>56</v>
      </c>
      <c r="F22" s="2">
        <v>46038</v>
      </c>
      <c r="G22">
        <v>-100</v>
      </c>
      <c r="H22">
        <v>-328.00000000000011</v>
      </c>
      <c r="I22">
        <v>5600</v>
      </c>
      <c r="J22">
        <v>5600</v>
      </c>
      <c r="K22">
        <v>-100</v>
      </c>
      <c r="N22">
        <v>-0.75</v>
      </c>
      <c r="O22">
        <v>3954</v>
      </c>
      <c r="P22" t="s">
        <v>21</v>
      </c>
      <c r="Q22" t="s">
        <v>34</v>
      </c>
      <c r="R22" t="s">
        <v>35</v>
      </c>
    </row>
    <row r="23" spans="1:18" hidden="1" x14ac:dyDescent="0.35">
      <c r="A23" t="s">
        <v>29</v>
      </c>
      <c r="B23" t="s">
        <v>57</v>
      </c>
      <c r="C23">
        <v>80.97</v>
      </c>
      <c r="D23" t="s">
        <v>20</v>
      </c>
      <c r="E23">
        <v>85</v>
      </c>
      <c r="F23" s="2">
        <v>46017</v>
      </c>
      <c r="G23">
        <v>-200</v>
      </c>
      <c r="H23">
        <v>0</v>
      </c>
      <c r="I23">
        <v>-17000</v>
      </c>
      <c r="L23">
        <v>-17000</v>
      </c>
      <c r="M23">
        <v>-200</v>
      </c>
      <c r="N23">
        <v>0.25</v>
      </c>
      <c r="O23">
        <v>-4048.5</v>
      </c>
      <c r="P23" t="s">
        <v>33</v>
      </c>
      <c r="Q23" t="s">
        <v>34</v>
      </c>
      <c r="R23" t="s">
        <v>35</v>
      </c>
    </row>
    <row r="24" spans="1:18" x14ac:dyDescent="0.35">
      <c r="A24" t="s">
        <v>18</v>
      </c>
      <c r="B24" t="s">
        <v>54</v>
      </c>
      <c r="C24">
        <v>131.9</v>
      </c>
      <c r="D24" t="s">
        <v>20</v>
      </c>
      <c r="E24">
        <v>145</v>
      </c>
      <c r="F24" s="2">
        <v>46038</v>
      </c>
      <c r="G24">
        <v>-100</v>
      </c>
      <c r="H24">
        <v>0</v>
      </c>
      <c r="I24">
        <v>-14500</v>
      </c>
      <c r="L24">
        <v>-14500</v>
      </c>
      <c r="M24">
        <v>-100</v>
      </c>
      <c r="N24">
        <v>0.25</v>
      </c>
      <c r="O24">
        <v>-3297.5</v>
      </c>
      <c r="P24" t="s">
        <v>21</v>
      </c>
      <c r="Q24" t="s">
        <v>39</v>
      </c>
      <c r="R24" t="s">
        <v>40</v>
      </c>
    </row>
    <row r="25" spans="1:18" hidden="1" x14ac:dyDescent="0.35">
      <c r="A25" t="s">
        <v>29</v>
      </c>
      <c r="B25" t="s">
        <v>32</v>
      </c>
      <c r="C25">
        <v>89.06</v>
      </c>
      <c r="D25" t="s">
        <v>20</v>
      </c>
      <c r="E25">
        <v>87.5</v>
      </c>
      <c r="F25" s="2">
        <v>46038</v>
      </c>
      <c r="G25">
        <v>-100</v>
      </c>
      <c r="H25">
        <v>-156.0000000000002</v>
      </c>
      <c r="I25">
        <v>-8750</v>
      </c>
      <c r="J25">
        <v>-8750</v>
      </c>
      <c r="K25">
        <v>-100</v>
      </c>
      <c r="N25">
        <v>0.5</v>
      </c>
      <c r="O25">
        <v>-4453</v>
      </c>
      <c r="P25" t="s">
        <v>33</v>
      </c>
      <c r="Q25" t="s">
        <v>34</v>
      </c>
      <c r="R25" t="s">
        <v>35</v>
      </c>
    </row>
    <row r="26" spans="1:18" hidden="1" x14ac:dyDescent="0.35">
      <c r="A26" t="s">
        <v>24</v>
      </c>
      <c r="B26" t="s">
        <v>58</v>
      </c>
      <c r="C26">
        <v>34.520000000000003</v>
      </c>
      <c r="D26" t="s">
        <v>26</v>
      </c>
      <c r="E26">
        <v>35</v>
      </c>
      <c r="F26" s="2">
        <v>46038</v>
      </c>
      <c r="G26">
        <v>-300</v>
      </c>
      <c r="H26">
        <v>-143.99999999999909</v>
      </c>
      <c r="I26">
        <v>10500</v>
      </c>
      <c r="J26">
        <v>10500</v>
      </c>
      <c r="K26">
        <v>-300</v>
      </c>
      <c r="N26">
        <v>-0.5</v>
      </c>
      <c r="O26">
        <v>5178.0000000000009</v>
      </c>
      <c r="P26" t="s">
        <v>21</v>
      </c>
      <c r="Q26" t="s">
        <v>22</v>
      </c>
      <c r="R26" t="s">
        <v>23</v>
      </c>
    </row>
    <row r="27" spans="1:18" hidden="1" x14ac:dyDescent="0.35">
      <c r="A27" t="s">
        <v>24</v>
      </c>
      <c r="B27" t="s">
        <v>59</v>
      </c>
      <c r="C27">
        <v>38.26</v>
      </c>
      <c r="D27" t="s">
        <v>26</v>
      </c>
      <c r="E27">
        <v>35</v>
      </c>
      <c r="F27" s="2">
        <v>46038</v>
      </c>
      <c r="G27">
        <v>-100</v>
      </c>
      <c r="H27">
        <v>0</v>
      </c>
      <c r="I27">
        <v>3500</v>
      </c>
      <c r="L27">
        <v>3500</v>
      </c>
      <c r="M27">
        <v>-100</v>
      </c>
      <c r="N27">
        <v>-0.25</v>
      </c>
      <c r="O27">
        <v>956.5</v>
      </c>
      <c r="P27" t="s">
        <v>21</v>
      </c>
      <c r="Q27" t="s">
        <v>60</v>
      </c>
      <c r="R27" t="s">
        <v>23</v>
      </c>
    </row>
    <row r="28" spans="1:18" hidden="1" x14ac:dyDescent="0.35">
      <c r="A28" t="s">
        <v>18</v>
      </c>
      <c r="B28" t="s">
        <v>53</v>
      </c>
      <c r="C28">
        <v>52.72</v>
      </c>
      <c r="D28" t="s">
        <v>26</v>
      </c>
      <c r="E28">
        <v>57</v>
      </c>
      <c r="F28" s="2">
        <v>46038</v>
      </c>
      <c r="G28">
        <v>-200</v>
      </c>
      <c r="H28">
        <v>-856.00000000000023</v>
      </c>
      <c r="I28">
        <v>11400</v>
      </c>
      <c r="J28">
        <v>11400</v>
      </c>
      <c r="K28">
        <v>-200</v>
      </c>
      <c r="N28">
        <v>-0.75</v>
      </c>
      <c r="O28">
        <v>7908</v>
      </c>
      <c r="P28" t="s">
        <v>21</v>
      </c>
      <c r="Q28" t="s">
        <v>34</v>
      </c>
      <c r="R28" t="s">
        <v>35</v>
      </c>
    </row>
    <row r="29" spans="1:18" x14ac:dyDescent="0.35">
      <c r="A29" t="s">
        <v>24</v>
      </c>
      <c r="B29" t="s">
        <v>61</v>
      </c>
      <c r="C29">
        <v>903.2</v>
      </c>
      <c r="D29" t="s">
        <v>26</v>
      </c>
      <c r="E29">
        <v>900</v>
      </c>
      <c r="F29" s="2">
        <v>46024</v>
      </c>
      <c r="G29">
        <v>-100</v>
      </c>
      <c r="H29">
        <v>0</v>
      </c>
      <c r="I29">
        <v>90000</v>
      </c>
      <c r="L29">
        <v>90000</v>
      </c>
      <c r="M29">
        <v>-100</v>
      </c>
      <c r="N29">
        <v>-0.5</v>
      </c>
      <c r="O29">
        <v>45160</v>
      </c>
      <c r="P29" t="s">
        <v>21</v>
      </c>
      <c r="Q29" t="s">
        <v>39</v>
      </c>
      <c r="R29" t="s">
        <v>40</v>
      </c>
    </row>
    <row r="30" spans="1:18" hidden="1" x14ac:dyDescent="0.35">
      <c r="A30" t="s">
        <v>18</v>
      </c>
      <c r="B30" t="s">
        <v>62</v>
      </c>
      <c r="C30">
        <v>31</v>
      </c>
      <c r="D30" t="s">
        <v>20</v>
      </c>
      <c r="E30">
        <v>32</v>
      </c>
      <c r="F30" s="2">
        <v>46038</v>
      </c>
      <c r="G30">
        <v>-400</v>
      </c>
      <c r="H30">
        <v>0</v>
      </c>
      <c r="I30">
        <v>-12800</v>
      </c>
      <c r="L30">
        <v>-12800</v>
      </c>
      <c r="M30">
        <v>-400</v>
      </c>
      <c r="N30">
        <v>0.25</v>
      </c>
      <c r="O30">
        <v>-3100</v>
      </c>
      <c r="P30" t="s">
        <v>21</v>
      </c>
      <c r="Q30" t="s">
        <v>52</v>
      </c>
      <c r="R30" t="s">
        <v>23</v>
      </c>
    </row>
    <row r="31" spans="1:18" hidden="1" x14ac:dyDescent="0.35">
      <c r="A31" t="s">
        <v>29</v>
      </c>
      <c r="B31" t="s">
        <v>63</v>
      </c>
      <c r="C31">
        <v>36.979999999999997</v>
      </c>
      <c r="D31" t="s">
        <v>20</v>
      </c>
      <c r="E31">
        <v>43</v>
      </c>
      <c r="F31" s="2">
        <v>46038</v>
      </c>
      <c r="G31">
        <v>-100</v>
      </c>
      <c r="H31">
        <v>0</v>
      </c>
      <c r="I31">
        <v>-4300</v>
      </c>
      <c r="L31">
        <v>-4300</v>
      </c>
      <c r="M31">
        <v>-100</v>
      </c>
      <c r="N31">
        <v>0.1</v>
      </c>
      <c r="O31">
        <v>-369.8</v>
      </c>
      <c r="P31" t="s">
        <v>33</v>
      </c>
      <c r="Q31" t="s">
        <v>50</v>
      </c>
      <c r="R31" t="s">
        <v>35</v>
      </c>
    </row>
    <row r="32" spans="1:18" hidden="1" x14ac:dyDescent="0.35">
      <c r="A32" t="s">
        <v>24</v>
      </c>
      <c r="B32" t="s">
        <v>59</v>
      </c>
      <c r="C32">
        <v>38.26</v>
      </c>
      <c r="D32" t="s">
        <v>26</v>
      </c>
      <c r="E32">
        <v>37</v>
      </c>
      <c r="F32" s="2">
        <v>46038</v>
      </c>
      <c r="G32">
        <v>-700</v>
      </c>
      <c r="H32">
        <v>0</v>
      </c>
      <c r="I32">
        <v>25900</v>
      </c>
      <c r="L32">
        <v>25900</v>
      </c>
      <c r="M32">
        <v>-700</v>
      </c>
      <c r="N32">
        <v>-0.25</v>
      </c>
      <c r="O32">
        <v>6695.5</v>
      </c>
      <c r="P32" t="s">
        <v>21</v>
      </c>
      <c r="Q32" t="s">
        <v>60</v>
      </c>
      <c r="R32" t="s">
        <v>23</v>
      </c>
    </row>
    <row r="33" spans="1:18" hidden="1" x14ac:dyDescent="0.35">
      <c r="A33" t="s">
        <v>24</v>
      </c>
      <c r="B33" t="s">
        <v>64</v>
      </c>
      <c r="C33">
        <v>324.8</v>
      </c>
      <c r="D33" t="s">
        <v>26</v>
      </c>
      <c r="E33">
        <v>340</v>
      </c>
      <c r="F33" s="2">
        <v>46024</v>
      </c>
      <c r="G33">
        <v>-100</v>
      </c>
      <c r="H33">
        <v>-1519.9999999999991</v>
      </c>
      <c r="I33">
        <v>34000</v>
      </c>
      <c r="J33">
        <v>34000</v>
      </c>
      <c r="K33">
        <v>-100</v>
      </c>
      <c r="N33">
        <v>-0.25</v>
      </c>
      <c r="O33">
        <v>8120</v>
      </c>
      <c r="P33" t="s">
        <v>33</v>
      </c>
      <c r="Q33" t="s">
        <v>65</v>
      </c>
      <c r="R33" t="s">
        <v>23</v>
      </c>
    </row>
    <row r="34" spans="1:18" hidden="1" x14ac:dyDescent="0.35">
      <c r="A34" t="s">
        <v>29</v>
      </c>
      <c r="B34" t="s">
        <v>66</v>
      </c>
      <c r="C34">
        <v>18.43</v>
      </c>
      <c r="D34" t="s">
        <v>20</v>
      </c>
      <c r="E34">
        <v>19</v>
      </c>
      <c r="F34" s="2">
        <v>46024</v>
      </c>
      <c r="G34">
        <v>-1000</v>
      </c>
      <c r="H34">
        <v>0</v>
      </c>
      <c r="I34">
        <v>-19000</v>
      </c>
      <c r="L34">
        <v>-19000</v>
      </c>
      <c r="M34">
        <v>-1000</v>
      </c>
      <c r="N34">
        <v>0.25</v>
      </c>
      <c r="O34">
        <v>-4607.5</v>
      </c>
      <c r="P34" t="s">
        <v>33</v>
      </c>
      <c r="Q34" t="s">
        <v>48</v>
      </c>
      <c r="R34" t="s">
        <v>23</v>
      </c>
    </row>
    <row r="35" spans="1:18" hidden="1" x14ac:dyDescent="0.35">
      <c r="A35" t="s">
        <v>18</v>
      </c>
      <c r="B35" t="s">
        <v>49</v>
      </c>
      <c r="C35">
        <v>23.925000000000001</v>
      </c>
      <c r="D35" t="s">
        <v>20</v>
      </c>
      <c r="E35">
        <v>23</v>
      </c>
      <c r="F35" s="2">
        <v>46038</v>
      </c>
      <c r="G35">
        <v>-200</v>
      </c>
      <c r="H35">
        <v>-185.00000000000011</v>
      </c>
      <c r="I35">
        <v>-4600</v>
      </c>
      <c r="J35">
        <v>-4600</v>
      </c>
      <c r="K35">
        <v>-200</v>
      </c>
      <c r="N35">
        <v>0.25</v>
      </c>
      <c r="O35">
        <v>-1196.25</v>
      </c>
      <c r="P35" t="s">
        <v>21</v>
      </c>
      <c r="Q35" t="s">
        <v>50</v>
      </c>
      <c r="R35" t="s">
        <v>23</v>
      </c>
    </row>
    <row r="36" spans="1:18" hidden="1" x14ac:dyDescent="0.35">
      <c r="A36" t="s">
        <v>18</v>
      </c>
      <c r="B36" t="s">
        <v>67</v>
      </c>
      <c r="C36">
        <v>951</v>
      </c>
      <c r="D36" t="s">
        <v>26</v>
      </c>
      <c r="E36">
        <v>920</v>
      </c>
      <c r="F36" s="2">
        <v>46101</v>
      </c>
      <c r="G36">
        <v>300</v>
      </c>
      <c r="H36">
        <v>0</v>
      </c>
      <c r="I36">
        <v>-276000</v>
      </c>
      <c r="L36">
        <v>-276000</v>
      </c>
      <c r="M36">
        <v>300</v>
      </c>
      <c r="N36">
        <v>-0.25</v>
      </c>
      <c r="O36">
        <v>-71325</v>
      </c>
      <c r="P36" t="s">
        <v>21</v>
      </c>
      <c r="Q36" t="s">
        <v>37</v>
      </c>
      <c r="R36" t="s">
        <v>23</v>
      </c>
    </row>
    <row r="37" spans="1:18" hidden="1" x14ac:dyDescent="0.35">
      <c r="A37" t="s">
        <v>29</v>
      </c>
      <c r="B37" t="s">
        <v>68</v>
      </c>
      <c r="C37">
        <v>57.34</v>
      </c>
      <c r="D37" t="s">
        <v>26</v>
      </c>
      <c r="E37">
        <v>61</v>
      </c>
      <c r="F37" s="2">
        <v>46024</v>
      </c>
      <c r="G37">
        <v>-100</v>
      </c>
      <c r="H37">
        <v>-365.99999999999972</v>
      </c>
      <c r="I37">
        <v>6100</v>
      </c>
      <c r="J37">
        <v>6100</v>
      </c>
      <c r="K37">
        <v>-100</v>
      </c>
      <c r="N37">
        <v>-0.75</v>
      </c>
      <c r="O37">
        <v>4300.5</v>
      </c>
      <c r="P37" t="s">
        <v>33</v>
      </c>
      <c r="Q37" t="s">
        <v>48</v>
      </c>
      <c r="R37" t="s">
        <v>23</v>
      </c>
    </row>
    <row r="38" spans="1:18" hidden="1" x14ac:dyDescent="0.35">
      <c r="A38" t="s">
        <v>18</v>
      </c>
      <c r="B38" t="s">
        <v>19</v>
      </c>
      <c r="C38">
        <v>68.28</v>
      </c>
      <c r="D38" t="s">
        <v>26</v>
      </c>
      <c r="E38">
        <v>72</v>
      </c>
      <c r="F38" s="2">
        <v>46038</v>
      </c>
      <c r="G38">
        <v>-200</v>
      </c>
      <c r="H38">
        <v>-743.99999999999977</v>
      </c>
      <c r="I38">
        <v>14400</v>
      </c>
      <c r="J38">
        <v>14400</v>
      </c>
      <c r="K38">
        <v>-200</v>
      </c>
      <c r="N38">
        <v>-0.75</v>
      </c>
      <c r="O38">
        <v>10242</v>
      </c>
      <c r="P38" t="s">
        <v>21</v>
      </c>
      <c r="Q38" t="s">
        <v>22</v>
      </c>
      <c r="R38" t="s">
        <v>23</v>
      </c>
    </row>
    <row r="39" spans="1:18" x14ac:dyDescent="0.35">
      <c r="A39" t="s">
        <v>24</v>
      </c>
      <c r="B39" t="s">
        <v>69</v>
      </c>
      <c r="C39">
        <v>131.32</v>
      </c>
      <c r="D39" t="s">
        <v>26</v>
      </c>
      <c r="E39">
        <v>127</v>
      </c>
      <c r="F39" s="2">
        <v>46017</v>
      </c>
      <c r="G39">
        <v>-100</v>
      </c>
      <c r="H39">
        <v>0</v>
      </c>
      <c r="I39">
        <v>12700</v>
      </c>
      <c r="L39">
        <v>12700</v>
      </c>
      <c r="M39">
        <v>-100</v>
      </c>
      <c r="N39">
        <v>-0.25</v>
      </c>
      <c r="O39">
        <v>3283</v>
      </c>
      <c r="P39" t="s">
        <v>33</v>
      </c>
      <c r="Q39" t="s">
        <v>39</v>
      </c>
      <c r="R39" t="s">
        <v>35</v>
      </c>
    </row>
    <row r="40" spans="1:18" hidden="1" x14ac:dyDescent="0.35">
      <c r="A40" t="s">
        <v>29</v>
      </c>
      <c r="B40" t="s">
        <v>70</v>
      </c>
      <c r="C40">
        <v>120.24</v>
      </c>
      <c r="D40" t="s">
        <v>26</v>
      </c>
      <c r="E40">
        <v>120</v>
      </c>
      <c r="F40" s="2">
        <v>46017</v>
      </c>
      <c r="G40">
        <v>-200</v>
      </c>
      <c r="H40">
        <v>0</v>
      </c>
      <c r="I40">
        <v>24000</v>
      </c>
      <c r="L40">
        <v>24000</v>
      </c>
      <c r="M40">
        <v>-200</v>
      </c>
      <c r="N40">
        <v>-0.5</v>
      </c>
      <c r="O40">
        <v>12024</v>
      </c>
      <c r="P40" t="s">
        <v>33</v>
      </c>
      <c r="Q40" t="s">
        <v>34</v>
      </c>
      <c r="R40" t="s">
        <v>35</v>
      </c>
    </row>
    <row r="41" spans="1:18" hidden="1" x14ac:dyDescent="0.35">
      <c r="A41" t="s">
        <v>18</v>
      </c>
      <c r="B41" t="s">
        <v>71</v>
      </c>
      <c r="C41">
        <v>13.31</v>
      </c>
      <c r="D41" t="s">
        <v>20</v>
      </c>
      <c r="E41">
        <v>13.5</v>
      </c>
      <c r="F41" s="2">
        <v>46038</v>
      </c>
      <c r="G41">
        <v>-300</v>
      </c>
      <c r="H41">
        <v>0</v>
      </c>
      <c r="I41">
        <v>-4050</v>
      </c>
      <c r="L41">
        <v>-4050</v>
      </c>
      <c r="M41">
        <v>-300</v>
      </c>
      <c r="N41">
        <v>0.5</v>
      </c>
      <c r="O41">
        <v>-1996.5</v>
      </c>
      <c r="P41" t="s">
        <v>21</v>
      </c>
      <c r="Q41" t="s">
        <v>22</v>
      </c>
      <c r="R41" t="s">
        <v>23</v>
      </c>
    </row>
    <row r="42" spans="1:18" x14ac:dyDescent="0.35">
      <c r="A42" t="s">
        <v>24</v>
      </c>
      <c r="B42" t="s">
        <v>54</v>
      </c>
      <c r="C42">
        <v>131.9</v>
      </c>
      <c r="D42" t="s">
        <v>26</v>
      </c>
      <c r="E42">
        <v>125</v>
      </c>
      <c r="F42" s="2">
        <v>46038</v>
      </c>
      <c r="G42">
        <v>-100</v>
      </c>
      <c r="H42">
        <v>0</v>
      </c>
      <c r="I42">
        <v>12500</v>
      </c>
      <c r="L42">
        <v>12500</v>
      </c>
      <c r="M42">
        <v>-100</v>
      </c>
      <c r="N42">
        <v>-0.25</v>
      </c>
      <c r="O42">
        <v>3297.5</v>
      </c>
      <c r="P42" t="s">
        <v>21</v>
      </c>
      <c r="Q42" t="s">
        <v>39</v>
      </c>
      <c r="R42" t="s">
        <v>40</v>
      </c>
    </row>
    <row r="43" spans="1:18" hidden="1" x14ac:dyDescent="0.35">
      <c r="A43" t="s">
        <v>24</v>
      </c>
      <c r="B43" t="s">
        <v>72</v>
      </c>
      <c r="C43">
        <v>34.78</v>
      </c>
      <c r="D43" t="s">
        <v>20</v>
      </c>
      <c r="E43">
        <v>36</v>
      </c>
      <c r="F43" s="2">
        <v>46038</v>
      </c>
      <c r="G43">
        <v>-300</v>
      </c>
      <c r="H43">
        <v>0</v>
      </c>
      <c r="I43">
        <v>-10800</v>
      </c>
      <c r="L43">
        <v>-10800</v>
      </c>
      <c r="M43">
        <v>-300</v>
      </c>
      <c r="N43">
        <v>0.25</v>
      </c>
      <c r="O43">
        <v>-2608.5</v>
      </c>
      <c r="P43" t="s">
        <v>21</v>
      </c>
      <c r="Q43" t="s">
        <v>22</v>
      </c>
      <c r="R43" t="s">
        <v>23</v>
      </c>
    </row>
    <row r="44" spans="1:18" x14ac:dyDescent="0.35">
      <c r="A44" t="s">
        <v>29</v>
      </c>
      <c r="B44" t="s">
        <v>73</v>
      </c>
      <c r="C44">
        <v>36.35</v>
      </c>
      <c r="D44" t="s">
        <v>20</v>
      </c>
      <c r="E44">
        <v>40</v>
      </c>
      <c r="F44" s="2">
        <v>46038</v>
      </c>
      <c r="G44">
        <v>-500</v>
      </c>
      <c r="H44">
        <v>0</v>
      </c>
      <c r="I44">
        <v>-20000</v>
      </c>
      <c r="L44">
        <v>-20000</v>
      </c>
      <c r="M44">
        <v>-500</v>
      </c>
      <c r="N44">
        <v>0.25</v>
      </c>
      <c r="O44">
        <v>-4543.75</v>
      </c>
      <c r="P44" t="s">
        <v>33</v>
      </c>
      <c r="Q44" t="s">
        <v>39</v>
      </c>
      <c r="R44" t="s">
        <v>40</v>
      </c>
    </row>
    <row r="45" spans="1:18" hidden="1" x14ac:dyDescent="0.35">
      <c r="A45" t="s">
        <v>18</v>
      </c>
      <c r="B45" t="s">
        <v>67</v>
      </c>
      <c r="C45">
        <v>951</v>
      </c>
      <c r="D45" t="s">
        <v>26</v>
      </c>
      <c r="E45">
        <v>820</v>
      </c>
      <c r="F45" s="2">
        <v>46101</v>
      </c>
      <c r="G45">
        <v>-300</v>
      </c>
      <c r="H45">
        <v>0</v>
      </c>
      <c r="I45">
        <v>246000</v>
      </c>
      <c r="L45">
        <v>246000</v>
      </c>
      <c r="M45">
        <v>-300</v>
      </c>
      <c r="N45">
        <v>-0.25</v>
      </c>
      <c r="O45">
        <v>71325</v>
      </c>
      <c r="P45" t="s">
        <v>21</v>
      </c>
      <c r="Q45" t="s">
        <v>37</v>
      </c>
      <c r="R45" t="s">
        <v>23</v>
      </c>
    </row>
    <row r="46" spans="1:18" hidden="1" x14ac:dyDescent="0.35">
      <c r="A46" t="s">
        <v>29</v>
      </c>
      <c r="B46" t="s">
        <v>74</v>
      </c>
      <c r="C46">
        <v>55.93</v>
      </c>
      <c r="D46" t="s">
        <v>26</v>
      </c>
      <c r="E46">
        <v>57.5</v>
      </c>
      <c r="F46" s="2">
        <v>46038</v>
      </c>
      <c r="G46">
        <v>-100</v>
      </c>
      <c r="H46">
        <v>-157</v>
      </c>
      <c r="I46">
        <v>5750</v>
      </c>
      <c r="J46">
        <v>5750</v>
      </c>
      <c r="K46">
        <v>-100</v>
      </c>
      <c r="N46">
        <v>-0.25</v>
      </c>
      <c r="O46">
        <v>1398.25</v>
      </c>
      <c r="P46" t="s">
        <v>33</v>
      </c>
      <c r="Q46" t="s">
        <v>27</v>
      </c>
      <c r="R46" t="s">
        <v>23</v>
      </c>
    </row>
    <row r="47" spans="1:18" hidden="1" x14ac:dyDescent="0.35">
      <c r="A47" t="s">
        <v>18</v>
      </c>
      <c r="B47" t="s">
        <v>75</v>
      </c>
      <c r="C47">
        <v>60.7</v>
      </c>
      <c r="D47" t="s">
        <v>26</v>
      </c>
      <c r="E47">
        <v>59</v>
      </c>
      <c r="F47" s="2">
        <v>46038</v>
      </c>
      <c r="G47">
        <v>-200</v>
      </c>
      <c r="H47">
        <v>0</v>
      </c>
      <c r="I47">
        <v>11800</v>
      </c>
      <c r="L47">
        <v>11800</v>
      </c>
      <c r="M47">
        <v>-200</v>
      </c>
      <c r="N47">
        <v>-0.25</v>
      </c>
      <c r="O47">
        <v>3035</v>
      </c>
      <c r="P47" t="s">
        <v>21</v>
      </c>
      <c r="Q47" t="s">
        <v>76</v>
      </c>
      <c r="R47" t="s">
        <v>23</v>
      </c>
    </row>
    <row r="48" spans="1:18" hidden="1" x14ac:dyDescent="0.35">
      <c r="A48" t="s">
        <v>29</v>
      </c>
      <c r="B48" t="s">
        <v>77</v>
      </c>
      <c r="C48">
        <v>39.92</v>
      </c>
      <c r="D48" t="s">
        <v>20</v>
      </c>
      <c r="E48">
        <v>42</v>
      </c>
      <c r="F48" s="2">
        <v>46038</v>
      </c>
      <c r="G48">
        <v>-300</v>
      </c>
      <c r="H48">
        <v>0</v>
      </c>
      <c r="I48">
        <v>-12600</v>
      </c>
      <c r="L48">
        <v>-12600</v>
      </c>
      <c r="M48">
        <v>-300</v>
      </c>
      <c r="N48">
        <v>0.25</v>
      </c>
      <c r="O48">
        <v>-2994</v>
      </c>
      <c r="P48" t="s">
        <v>33</v>
      </c>
      <c r="Q48" t="s">
        <v>78</v>
      </c>
      <c r="R48" t="s">
        <v>23</v>
      </c>
    </row>
    <row r="49" spans="1:18" hidden="1" x14ac:dyDescent="0.35">
      <c r="A49" t="s">
        <v>24</v>
      </c>
      <c r="B49" t="s">
        <v>58</v>
      </c>
      <c r="C49">
        <v>34.520000000000003</v>
      </c>
      <c r="D49" t="s">
        <v>26</v>
      </c>
      <c r="E49">
        <v>36</v>
      </c>
      <c r="F49" s="2">
        <v>46038</v>
      </c>
      <c r="G49">
        <v>-900</v>
      </c>
      <c r="H49">
        <v>-1331.999999999997</v>
      </c>
      <c r="I49">
        <v>32400</v>
      </c>
      <c r="J49">
        <v>32400</v>
      </c>
      <c r="K49">
        <v>-900</v>
      </c>
      <c r="N49">
        <v>-0.25</v>
      </c>
      <c r="O49">
        <v>7767.0000000000009</v>
      </c>
      <c r="P49" t="s">
        <v>21</v>
      </c>
      <c r="Q49" t="s">
        <v>22</v>
      </c>
      <c r="R49" t="s">
        <v>23</v>
      </c>
    </row>
    <row r="50" spans="1:18" hidden="1" x14ac:dyDescent="0.35">
      <c r="A50" t="s">
        <v>29</v>
      </c>
      <c r="B50" t="s">
        <v>70</v>
      </c>
      <c r="C50">
        <v>120.24</v>
      </c>
      <c r="D50" t="s">
        <v>26</v>
      </c>
      <c r="E50">
        <v>124</v>
      </c>
      <c r="F50" s="2">
        <v>46017</v>
      </c>
      <c r="G50">
        <v>-100</v>
      </c>
      <c r="H50">
        <v>-376.00000000000051</v>
      </c>
      <c r="I50">
        <v>12400</v>
      </c>
      <c r="J50">
        <v>12400</v>
      </c>
      <c r="K50">
        <v>-100</v>
      </c>
      <c r="N50">
        <v>-0.25</v>
      </c>
      <c r="O50">
        <v>3006</v>
      </c>
      <c r="P50" t="s">
        <v>33</v>
      </c>
      <c r="Q50" t="s">
        <v>34</v>
      </c>
      <c r="R50" t="s">
        <v>35</v>
      </c>
    </row>
    <row r="51" spans="1:18" hidden="1" x14ac:dyDescent="0.35">
      <c r="A51" t="s">
        <v>29</v>
      </c>
      <c r="B51" t="s">
        <v>64</v>
      </c>
      <c r="C51">
        <v>324.8</v>
      </c>
      <c r="D51" t="s">
        <v>26</v>
      </c>
      <c r="E51">
        <v>340</v>
      </c>
      <c r="F51" s="2">
        <v>46024</v>
      </c>
      <c r="G51">
        <v>-100</v>
      </c>
      <c r="H51">
        <v>-1519.9999999999991</v>
      </c>
      <c r="I51">
        <v>34000</v>
      </c>
      <c r="J51">
        <v>34000</v>
      </c>
      <c r="K51">
        <v>-100</v>
      </c>
      <c r="N51">
        <v>-0.25</v>
      </c>
      <c r="O51">
        <v>8120</v>
      </c>
      <c r="P51" t="s">
        <v>33</v>
      </c>
      <c r="Q51" t="s">
        <v>65</v>
      </c>
      <c r="R51" t="s">
        <v>23</v>
      </c>
    </row>
    <row r="52" spans="1:18" hidden="1" x14ac:dyDescent="0.35">
      <c r="A52" t="s">
        <v>24</v>
      </c>
      <c r="B52" t="s">
        <v>62</v>
      </c>
      <c r="C52">
        <v>31</v>
      </c>
      <c r="D52" t="s">
        <v>26</v>
      </c>
      <c r="E52">
        <v>32</v>
      </c>
      <c r="F52" s="2">
        <v>46038</v>
      </c>
      <c r="G52">
        <v>-500</v>
      </c>
      <c r="H52">
        <v>-500</v>
      </c>
      <c r="I52">
        <v>16000</v>
      </c>
      <c r="J52">
        <v>16000</v>
      </c>
      <c r="K52">
        <v>-500</v>
      </c>
      <c r="N52">
        <v>-0.25</v>
      </c>
      <c r="O52">
        <v>3875</v>
      </c>
      <c r="P52" t="s">
        <v>21</v>
      </c>
      <c r="Q52" t="s">
        <v>52</v>
      </c>
      <c r="R52" t="s">
        <v>23</v>
      </c>
    </row>
    <row r="53" spans="1:18" hidden="1" x14ac:dyDescent="0.35">
      <c r="A53" t="s">
        <v>29</v>
      </c>
      <c r="B53" t="s">
        <v>79</v>
      </c>
      <c r="C53">
        <v>728.45</v>
      </c>
      <c r="D53" t="s">
        <v>26</v>
      </c>
      <c r="E53">
        <v>675</v>
      </c>
      <c r="F53" s="2">
        <v>46031</v>
      </c>
      <c r="G53">
        <v>-100</v>
      </c>
      <c r="H53">
        <v>0</v>
      </c>
      <c r="I53">
        <v>67500</v>
      </c>
      <c r="L53">
        <v>67500</v>
      </c>
      <c r="M53">
        <v>-100</v>
      </c>
      <c r="N53">
        <v>-0.25</v>
      </c>
      <c r="O53">
        <v>18211.25</v>
      </c>
      <c r="P53" t="s">
        <v>33</v>
      </c>
      <c r="Q53" t="s">
        <v>34</v>
      </c>
      <c r="R53" t="s">
        <v>35</v>
      </c>
    </row>
    <row r="54" spans="1:18" x14ac:dyDescent="0.35">
      <c r="A54" t="s">
        <v>18</v>
      </c>
      <c r="B54" t="s">
        <v>54</v>
      </c>
      <c r="C54">
        <v>131.9</v>
      </c>
      <c r="D54" t="s">
        <v>26</v>
      </c>
      <c r="E54">
        <v>125</v>
      </c>
      <c r="F54" s="2">
        <v>46038</v>
      </c>
      <c r="G54">
        <v>-100</v>
      </c>
      <c r="H54">
        <v>0</v>
      </c>
      <c r="I54">
        <v>12500</v>
      </c>
      <c r="L54">
        <v>12500</v>
      </c>
      <c r="M54">
        <v>-100</v>
      </c>
      <c r="N54">
        <v>-0.25</v>
      </c>
      <c r="O54">
        <v>3297.5</v>
      </c>
      <c r="P54" t="s">
        <v>21</v>
      </c>
      <c r="Q54" t="s">
        <v>39</v>
      </c>
      <c r="R54" t="s">
        <v>40</v>
      </c>
    </row>
    <row r="55" spans="1:18" hidden="1" x14ac:dyDescent="0.35">
      <c r="A55" t="s">
        <v>18</v>
      </c>
      <c r="B55" t="s">
        <v>80</v>
      </c>
      <c r="C55">
        <v>55.54</v>
      </c>
      <c r="D55" t="s">
        <v>20</v>
      </c>
      <c r="E55">
        <v>57</v>
      </c>
      <c r="F55" s="2">
        <v>46038</v>
      </c>
      <c r="G55">
        <v>-800</v>
      </c>
      <c r="H55">
        <v>0</v>
      </c>
      <c r="I55">
        <v>-45600</v>
      </c>
      <c r="L55">
        <v>-45600</v>
      </c>
      <c r="M55">
        <v>-800</v>
      </c>
      <c r="N55">
        <v>0.25</v>
      </c>
      <c r="O55">
        <v>-11108</v>
      </c>
      <c r="P55" t="s">
        <v>21</v>
      </c>
      <c r="Q55" t="s">
        <v>22</v>
      </c>
      <c r="R55" t="s">
        <v>23</v>
      </c>
    </row>
    <row r="56" spans="1:18" hidden="1" x14ac:dyDescent="0.35">
      <c r="A56" t="s">
        <v>29</v>
      </c>
      <c r="B56" t="s">
        <v>81</v>
      </c>
      <c r="C56">
        <v>69.87</v>
      </c>
      <c r="D56" t="s">
        <v>26</v>
      </c>
      <c r="E56">
        <v>67.5</v>
      </c>
      <c r="F56" s="2">
        <v>46038</v>
      </c>
      <c r="G56">
        <v>-200</v>
      </c>
      <c r="H56">
        <v>0</v>
      </c>
      <c r="I56">
        <v>13500</v>
      </c>
      <c r="L56">
        <v>13500</v>
      </c>
      <c r="M56">
        <v>-200</v>
      </c>
      <c r="N56">
        <v>-0.25</v>
      </c>
      <c r="O56">
        <v>3493.5</v>
      </c>
      <c r="P56" t="s">
        <v>33</v>
      </c>
      <c r="Q56" t="s">
        <v>22</v>
      </c>
      <c r="R56" t="s">
        <v>23</v>
      </c>
    </row>
    <row r="57" spans="1:18" hidden="1" x14ac:dyDescent="0.35">
      <c r="A57" t="s">
        <v>29</v>
      </c>
      <c r="B57" t="s">
        <v>82</v>
      </c>
      <c r="C57">
        <v>390.4</v>
      </c>
      <c r="D57" t="s">
        <v>26</v>
      </c>
      <c r="E57">
        <v>370</v>
      </c>
      <c r="F57" s="2">
        <v>46038</v>
      </c>
      <c r="G57">
        <v>-100</v>
      </c>
      <c r="H57">
        <v>0</v>
      </c>
      <c r="I57">
        <v>37000</v>
      </c>
      <c r="L57">
        <v>37000</v>
      </c>
      <c r="M57">
        <v>-100</v>
      </c>
      <c r="N57">
        <v>-0.25</v>
      </c>
      <c r="O57">
        <v>9760</v>
      </c>
      <c r="P57" t="s">
        <v>42</v>
      </c>
      <c r="Q57" t="s">
        <v>76</v>
      </c>
      <c r="R57" t="s">
        <v>23</v>
      </c>
    </row>
    <row r="58" spans="1:18" hidden="1" x14ac:dyDescent="0.35">
      <c r="A58" t="s">
        <v>29</v>
      </c>
      <c r="B58" t="s">
        <v>83</v>
      </c>
      <c r="C58">
        <v>46.58</v>
      </c>
      <c r="D58" t="s">
        <v>20</v>
      </c>
      <c r="E58">
        <v>42.5</v>
      </c>
      <c r="F58" s="2">
        <v>46038</v>
      </c>
      <c r="G58">
        <v>-100</v>
      </c>
      <c r="H58">
        <v>-407.99999999999977</v>
      </c>
      <c r="I58">
        <v>-4250</v>
      </c>
      <c r="J58">
        <v>-4250</v>
      </c>
      <c r="K58">
        <v>-100</v>
      </c>
      <c r="N58">
        <v>0.75</v>
      </c>
      <c r="O58">
        <v>-3493.5</v>
      </c>
      <c r="P58" t="s">
        <v>42</v>
      </c>
      <c r="Q58" t="s">
        <v>46</v>
      </c>
      <c r="R58" t="s">
        <v>23</v>
      </c>
    </row>
    <row r="59" spans="1:18" hidden="1" x14ac:dyDescent="0.35">
      <c r="A59" t="s">
        <v>18</v>
      </c>
      <c r="B59" t="s">
        <v>84</v>
      </c>
      <c r="C59">
        <v>35.454999999999998</v>
      </c>
      <c r="D59" t="s">
        <v>26</v>
      </c>
      <c r="E59">
        <v>35</v>
      </c>
      <c r="F59" s="2">
        <v>46038</v>
      </c>
      <c r="G59">
        <v>-100</v>
      </c>
      <c r="H59">
        <v>0</v>
      </c>
      <c r="I59">
        <v>3500</v>
      </c>
      <c r="L59">
        <v>3500</v>
      </c>
      <c r="M59">
        <v>-100</v>
      </c>
      <c r="N59">
        <v>-0.5</v>
      </c>
      <c r="O59">
        <v>1772.75</v>
      </c>
      <c r="P59" t="s">
        <v>42</v>
      </c>
      <c r="Q59" t="s">
        <v>65</v>
      </c>
      <c r="R59" t="s">
        <v>23</v>
      </c>
    </row>
    <row r="60" spans="1:18" hidden="1" x14ac:dyDescent="0.35">
      <c r="A60" t="s">
        <v>29</v>
      </c>
      <c r="B60" t="s">
        <v>85</v>
      </c>
      <c r="C60">
        <v>151.22999999999999</v>
      </c>
      <c r="D60" t="s">
        <v>26</v>
      </c>
      <c r="E60">
        <v>155</v>
      </c>
      <c r="F60" s="2">
        <v>46017</v>
      </c>
      <c r="G60">
        <v>-100</v>
      </c>
      <c r="H60">
        <v>-377.00000000000102</v>
      </c>
      <c r="I60">
        <v>15500</v>
      </c>
      <c r="J60">
        <v>15500</v>
      </c>
      <c r="K60">
        <v>-100</v>
      </c>
      <c r="N60">
        <v>-0.5</v>
      </c>
      <c r="O60">
        <v>7561.4999999999991</v>
      </c>
      <c r="P60" t="s">
        <v>33</v>
      </c>
      <c r="Q60" t="s">
        <v>34</v>
      </c>
      <c r="R60" t="s">
        <v>35</v>
      </c>
    </row>
    <row r="61" spans="1:18" hidden="1" x14ac:dyDescent="0.35">
      <c r="A61" t="s">
        <v>29</v>
      </c>
      <c r="B61" t="s">
        <v>55</v>
      </c>
      <c r="C61">
        <v>255</v>
      </c>
      <c r="D61" t="s">
        <v>26</v>
      </c>
      <c r="E61">
        <v>240</v>
      </c>
      <c r="F61" s="2">
        <v>46101</v>
      </c>
      <c r="G61">
        <v>1000</v>
      </c>
      <c r="H61">
        <v>0</v>
      </c>
      <c r="I61">
        <v>-240000</v>
      </c>
      <c r="L61">
        <v>-240000</v>
      </c>
      <c r="M61">
        <v>1000</v>
      </c>
      <c r="N61">
        <v>-0.25</v>
      </c>
      <c r="O61">
        <v>-63750</v>
      </c>
      <c r="P61" t="s">
        <v>33</v>
      </c>
      <c r="Q61" t="s">
        <v>37</v>
      </c>
      <c r="R61" t="s">
        <v>23</v>
      </c>
    </row>
    <row r="62" spans="1:18" hidden="1" x14ac:dyDescent="0.35">
      <c r="A62" t="s">
        <v>24</v>
      </c>
      <c r="B62" t="s">
        <v>67</v>
      </c>
      <c r="C62">
        <v>951</v>
      </c>
      <c r="D62" t="s">
        <v>26</v>
      </c>
      <c r="E62">
        <v>900</v>
      </c>
      <c r="F62" s="2">
        <v>46101</v>
      </c>
      <c r="G62">
        <v>300</v>
      </c>
      <c r="H62">
        <v>0</v>
      </c>
      <c r="I62">
        <v>-270000</v>
      </c>
      <c r="L62">
        <v>-270000</v>
      </c>
      <c r="M62">
        <v>300</v>
      </c>
      <c r="N62">
        <v>-0.25</v>
      </c>
      <c r="O62">
        <v>-71325</v>
      </c>
      <c r="P62" t="s">
        <v>21</v>
      </c>
      <c r="Q62" t="s">
        <v>37</v>
      </c>
      <c r="R62" t="s">
        <v>23</v>
      </c>
    </row>
    <row r="63" spans="1:18" hidden="1" x14ac:dyDescent="0.35">
      <c r="A63" t="s">
        <v>29</v>
      </c>
      <c r="B63" t="s">
        <v>86</v>
      </c>
      <c r="C63">
        <v>225.1</v>
      </c>
      <c r="D63" t="s">
        <v>26</v>
      </c>
      <c r="E63">
        <v>222.5</v>
      </c>
      <c r="F63" s="2">
        <v>46024</v>
      </c>
      <c r="G63">
        <v>-100</v>
      </c>
      <c r="H63">
        <v>0</v>
      </c>
      <c r="I63">
        <v>22250</v>
      </c>
      <c r="L63">
        <v>22250</v>
      </c>
      <c r="M63">
        <v>-100</v>
      </c>
      <c r="N63">
        <v>-0.5</v>
      </c>
      <c r="O63">
        <v>11255</v>
      </c>
      <c r="P63" t="s">
        <v>33</v>
      </c>
      <c r="Q63" t="s">
        <v>34</v>
      </c>
      <c r="R63" t="s">
        <v>35</v>
      </c>
    </row>
    <row r="64" spans="1:18" hidden="1" x14ac:dyDescent="0.35">
      <c r="A64" t="s">
        <v>18</v>
      </c>
      <c r="B64" t="s">
        <v>43</v>
      </c>
      <c r="C64">
        <v>88.24</v>
      </c>
      <c r="D64" t="s">
        <v>20</v>
      </c>
      <c r="E64">
        <v>98</v>
      </c>
      <c r="F64" s="2">
        <v>46038</v>
      </c>
      <c r="G64">
        <v>-100</v>
      </c>
      <c r="H64">
        <v>0</v>
      </c>
      <c r="I64">
        <v>-9800</v>
      </c>
      <c r="L64">
        <v>-9800</v>
      </c>
      <c r="M64">
        <v>-100</v>
      </c>
      <c r="N64">
        <v>0.25</v>
      </c>
      <c r="O64">
        <v>-2206</v>
      </c>
      <c r="P64" t="s">
        <v>21</v>
      </c>
      <c r="Q64" t="s">
        <v>22</v>
      </c>
      <c r="R64" t="s">
        <v>23</v>
      </c>
    </row>
    <row r="65" spans="1:18" hidden="1" x14ac:dyDescent="0.35">
      <c r="A65" t="s">
        <v>29</v>
      </c>
      <c r="B65" t="s">
        <v>87</v>
      </c>
      <c r="C65">
        <v>154.99</v>
      </c>
      <c r="D65" t="s">
        <v>20</v>
      </c>
      <c r="E65">
        <v>154</v>
      </c>
      <c r="F65" s="2">
        <v>46038</v>
      </c>
      <c r="G65">
        <v>-100</v>
      </c>
      <c r="H65">
        <v>-99.000000000000909</v>
      </c>
      <c r="I65">
        <v>-15400</v>
      </c>
      <c r="J65">
        <v>-15400</v>
      </c>
      <c r="K65">
        <v>-100</v>
      </c>
      <c r="N65">
        <v>0.5</v>
      </c>
      <c r="O65">
        <v>-7749.5</v>
      </c>
      <c r="P65" t="s">
        <v>33</v>
      </c>
      <c r="Q65" t="s">
        <v>65</v>
      </c>
      <c r="R65" t="s">
        <v>23</v>
      </c>
    </row>
    <row r="66" spans="1:18" hidden="1" x14ac:dyDescent="0.35">
      <c r="A66" t="s">
        <v>24</v>
      </c>
      <c r="B66" t="s">
        <v>67</v>
      </c>
      <c r="C66">
        <v>951</v>
      </c>
      <c r="D66" t="s">
        <v>26</v>
      </c>
      <c r="E66">
        <v>935</v>
      </c>
      <c r="F66" s="2">
        <v>46024</v>
      </c>
      <c r="G66">
        <v>-100</v>
      </c>
      <c r="H66">
        <v>0</v>
      </c>
      <c r="I66">
        <v>93500</v>
      </c>
      <c r="L66">
        <v>93500</v>
      </c>
      <c r="M66">
        <v>-100</v>
      </c>
      <c r="N66">
        <v>-0.5</v>
      </c>
      <c r="O66">
        <v>47550</v>
      </c>
      <c r="P66" t="s">
        <v>21</v>
      </c>
      <c r="Q66" t="s">
        <v>37</v>
      </c>
      <c r="R66" t="s">
        <v>23</v>
      </c>
    </row>
    <row r="67" spans="1:18" hidden="1" x14ac:dyDescent="0.35">
      <c r="A67" t="s">
        <v>24</v>
      </c>
      <c r="B67" t="s">
        <v>67</v>
      </c>
      <c r="C67">
        <v>951</v>
      </c>
      <c r="D67" t="s">
        <v>26</v>
      </c>
      <c r="E67">
        <v>840</v>
      </c>
      <c r="F67" s="2">
        <v>46101</v>
      </c>
      <c r="G67">
        <v>-400</v>
      </c>
      <c r="H67">
        <v>0</v>
      </c>
      <c r="I67">
        <v>336000</v>
      </c>
      <c r="L67">
        <v>336000</v>
      </c>
      <c r="M67">
        <v>-400</v>
      </c>
      <c r="N67">
        <v>-0.25</v>
      </c>
      <c r="O67">
        <v>95100</v>
      </c>
      <c r="P67" t="s">
        <v>21</v>
      </c>
      <c r="Q67" t="s">
        <v>37</v>
      </c>
      <c r="R67" t="s">
        <v>23</v>
      </c>
    </row>
    <row r="68" spans="1:18" hidden="1" x14ac:dyDescent="0.35">
      <c r="A68" t="s">
        <v>24</v>
      </c>
      <c r="B68" t="s">
        <v>47</v>
      </c>
      <c r="C68">
        <v>92.86</v>
      </c>
      <c r="D68" t="s">
        <v>26</v>
      </c>
      <c r="E68">
        <v>95</v>
      </c>
      <c r="F68" s="2">
        <v>46038</v>
      </c>
      <c r="G68">
        <v>-200</v>
      </c>
      <c r="H68">
        <v>-428.00000000000011</v>
      </c>
      <c r="I68">
        <v>19000</v>
      </c>
      <c r="J68">
        <v>19000</v>
      </c>
      <c r="K68">
        <v>-200</v>
      </c>
      <c r="N68">
        <v>-0.5</v>
      </c>
      <c r="O68">
        <v>9286</v>
      </c>
      <c r="P68" t="s">
        <v>42</v>
      </c>
      <c r="Q68" t="s">
        <v>48</v>
      </c>
      <c r="R68" t="s">
        <v>23</v>
      </c>
    </row>
    <row r="69" spans="1:18" hidden="1" x14ac:dyDescent="0.35">
      <c r="A69" t="s">
        <v>24</v>
      </c>
      <c r="B69" t="s">
        <v>74</v>
      </c>
      <c r="C69">
        <v>55.93</v>
      </c>
      <c r="D69" t="s">
        <v>20</v>
      </c>
      <c r="E69">
        <v>60</v>
      </c>
      <c r="F69" s="2">
        <v>46038</v>
      </c>
      <c r="G69">
        <v>-500</v>
      </c>
      <c r="H69">
        <v>0</v>
      </c>
      <c r="I69">
        <v>-30000</v>
      </c>
      <c r="L69">
        <v>-30000</v>
      </c>
      <c r="M69">
        <v>-500</v>
      </c>
      <c r="N69">
        <v>0.25</v>
      </c>
      <c r="O69">
        <v>-6991.25</v>
      </c>
      <c r="P69" t="s">
        <v>33</v>
      </c>
      <c r="Q69" t="s">
        <v>27</v>
      </c>
      <c r="R69" t="s">
        <v>23</v>
      </c>
    </row>
    <row r="70" spans="1:18" hidden="1" x14ac:dyDescent="0.35">
      <c r="A70" t="s">
        <v>24</v>
      </c>
      <c r="B70" t="s">
        <v>62</v>
      </c>
      <c r="C70">
        <v>31</v>
      </c>
      <c r="D70" t="s">
        <v>26</v>
      </c>
      <c r="E70">
        <v>31</v>
      </c>
      <c r="F70" s="2">
        <v>46038</v>
      </c>
      <c r="G70">
        <v>-400</v>
      </c>
      <c r="H70">
        <v>0</v>
      </c>
      <c r="I70">
        <v>12400</v>
      </c>
      <c r="L70">
        <v>12400</v>
      </c>
      <c r="M70">
        <v>-400</v>
      </c>
      <c r="N70">
        <v>-0.5</v>
      </c>
      <c r="O70">
        <v>6200</v>
      </c>
      <c r="P70" t="s">
        <v>21</v>
      </c>
      <c r="Q70" t="s">
        <v>52</v>
      </c>
      <c r="R70" t="s">
        <v>23</v>
      </c>
    </row>
    <row r="71" spans="1:18" hidden="1" x14ac:dyDescent="0.35">
      <c r="A71" t="s">
        <v>29</v>
      </c>
      <c r="B71" t="s">
        <v>74</v>
      </c>
      <c r="C71">
        <v>55.93</v>
      </c>
      <c r="D71" t="s">
        <v>20</v>
      </c>
      <c r="E71">
        <v>60</v>
      </c>
      <c r="F71" s="2">
        <v>46038</v>
      </c>
      <c r="G71">
        <v>-200</v>
      </c>
      <c r="H71">
        <v>0</v>
      </c>
      <c r="I71">
        <v>-12000</v>
      </c>
      <c r="L71">
        <v>-12000</v>
      </c>
      <c r="M71">
        <v>-200</v>
      </c>
      <c r="N71">
        <v>0.25</v>
      </c>
      <c r="O71">
        <v>-2796.5</v>
      </c>
      <c r="P71" t="s">
        <v>33</v>
      </c>
      <c r="Q71" t="s">
        <v>27</v>
      </c>
      <c r="R71" t="s">
        <v>23</v>
      </c>
    </row>
    <row r="72" spans="1:18" hidden="1" x14ac:dyDescent="0.35">
      <c r="A72" t="s">
        <v>29</v>
      </c>
      <c r="B72" t="s">
        <v>83</v>
      </c>
      <c r="C72">
        <v>46.58</v>
      </c>
      <c r="D72" t="s">
        <v>26</v>
      </c>
      <c r="E72">
        <v>47</v>
      </c>
      <c r="F72" s="2">
        <v>46038</v>
      </c>
      <c r="G72">
        <v>-300</v>
      </c>
      <c r="H72">
        <v>-126.0000000000005</v>
      </c>
      <c r="I72">
        <v>14100</v>
      </c>
      <c r="J72">
        <v>14100</v>
      </c>
      <c r="K72">
        <v>-300</v>
      </c>
      <c r="N72">
        <v>-0.5</v>
      </c>
      <c r="O72">
        <v>6987</v>
      </c>
      <c r="P72" t="s">
        <v>42</v>
      </c>
      <c r="Q72" t="s">
        <v>46</v>
      </c>
      <c r="R72" t="s">
        <v>23</v>
      </c>
    </row>
    <row r="73" spans="1:18" hidden="1" x14ac:dyDescent="0.35">
      <c r="A73" t="s">
        <v>18</v>
      </c>
      <c r="B73" t="s">
        <v>84</v>
      </c>
      <c r="C73">
        <v>35.454999999999998</v>
      </c>
      <c r="D73" t="s">
        <v>20</v>
      </c>
      <c r="E73">
        <v>36.5</v>
      </c>
      <c r="F73" s="2">
        <v>46038</v>
      </c>
      <c r="G73">
        <v>-20</v>
      </c>
      <c r="H73">
        <v>0</v>
      </c>
      <c r="I73">
        <v>-730</v>
      </c>
      <c r="L73">
        <v>-730</v>
      </c>
      <c r="M73">
        <v>-20</v>
      </c>
      <c r="N73">
        <v>0.25</v>
      </c>
      <c r="O73">
        <v>-177.27500000000001</v>
      </c>
      <c r="P73" t="s">
        <v>42</v>
      </c>
      <c r="Q73" t="s">
        <v>65</v>
      </c>
      <c r="R73" t="s">
        <v>23</v>
      </c>
    </row>
    <row r="74" spans="1:18" hidden="1" x14ac:dyDescent="0.35">
      <c r="A74" t="s">
        <v>29</v>
      </c>
      <c r="B74" t="s">
        <v>51</v>
      </c>
      <c r="C74">
        <v>93.41</v>
      </c>
      <c r="D74" t="s">
        <v>20</v>
      </c>
      <c r="E74">
        <v>89</v>
      </c>
      <c r="F74" s="2">
        <v>46024</v>
      </c>
      <c r="G74">
        <v>-100</v>
      </c>
      <c r="H74">
        <v>-440.99999999999972</v>
      </c>
      <c r="I74">
        <v>-8900</v>
      </c>
      <c r="J74">
        <v>-8900</v>
      </c>
      <c r="K74">
        <v>-100</v>
      </c>
      <c r="N74">
        <v>0.25</v>
      </c>
      <c r="O74">
        <v>-2335.25</v>
      </c>
      <c r="P74" t="s">
        <v>33</v>
      </c>
      <c r="Q74" t="s">
        <v>52</v>
      </c>
      <c r="R74" t="s">
        <v>35</v>
      </c>
    </row>
    <row r="75" spans="1:18" hidden="1" x14ac:dyDescent="0.35">
      <c r="A75" t="s">
        <v>29</v>
      </c>
      <c r="B75" t="s">
        <v>88</v>
      </c>
      <c r="C75">
        <v>577.34</v>
      </c>
      <c r="D75" t="s">
        <v>26</v>
      </c>
      <c r="E75">
        <v>500</v>
      </c>
      <c r="F75" s="2">
        <v>46038</v>
      </c>
      <c r="G75">
        <v>-100</v>
      </c>
      <c r="H75">
        <v>0</v>
      </c>
      <c r="I75">
        <v>50000</v>
      </c>
      <c r="L75">
        <v>50000</v>
      </c>
      <c r="M75">
        <v>-100</v>
      </c>
      <c r="N75">
        <v>-0.25</v>
      </c>
      <c r="O75">
        <v>14433.5</v>
      </c>
      <c r="P75" t="s">
        <v>33</v>
      </c>
      <c r="Q75" t="s">
        <v>65</v>
      </c>
      <c r="R75" t="s">
        <v>35</v>
      </c>
    </row>
    <row r="76" spans="1:18" hidden="1" x14ac:dyDescent="0.35">
      <c r="A76" t="s">
        <v>24</v>
      </c>
      <c r="B76" t="s">
        <v>89</v>
      </c>
      <c r="C76">
        <v>105</v>
      </c>
      <c r="D76" t="s">
        <v>26</v>
      </c>
      <c r="E76">
        <v>110</v>
      </c>
      <c r="F76" s="2">
        <v>46038</v>
      </c>
      <c r="G76">
        <v>-200</v>
      </c>
      <c r="H76">
        <v>-1000</v>
      </c>
      <c r="I76">
        <v>22000</v>
      </c>
      <c r="J76">
        <v>22000</v>
      </c>
      <c r="K76">
        <v>-200</v>
      </c>
      <c r="N76">
        <v>-0.25</v>
      </c>
      <c r="O76">
        <v>5250</v>
      </c>
      <c r="P76" t="s">
        <v>42</v>
      </c>
      <c r="Q76" t="s">
        <v>48</v>
      </c>
      <c r="R76" t="s">
        <v>23</v>
      </c>
    </row>
    <row r="77" spans="1:18" hidden="1" x14ac:dyDescent="0.35">
      <c r="A77" t="s">
        <v>29</v>
      </c>
      <c r="B77" t="s">
        <v>90</v>
      </c>
      <c r="C77">
        <v>195.34</v>
      </c>
      <c r="D77" t="s">
        <v>26</v>
      </c>
      <c r="E77">
        <v>170</v>
      </c>
      <c r="F77" s="2">
        <v>46038</v>
      </c>
      <c r="G77">
        <v>-100</v>
      </c>
      <c r="H77">
        <v>0</v>
      </c>
      <c r="I77">
        <v>17000</v>
      </c>
      <c r="L77">
        <v>17000</v>
      </c>
      <c r="M77">
        <v>-100</v>
      </c>
      <c r="N77">
        <v>-0.25</v>
      </c>
      <c r="O77">
        <v>4883.5</v>
      </c>
      <c r="P77" t="s">
        <v>33</v>
      </c>
      <c r="Q77" t="s">
        <v>34</v>
      </c>
      <c r="R77" t="s">
        <v>35</v>
      </c>
    </row>
    <row r="78" spans="1:18" hidden="1" x14ac:dyDescent="0.35">
      <c r="A78" t="s">
        <v>18</v>
      </c>
      <c r="B78" t="s">
        <v>25</v>
      </c>
      <c r="C78">
        <v>92.2</v>
      </c>
      <c r="D78" t="s">
        <v>20</v>
      </c>
      <c r="E78">
        <v>92</v>
      </c>
      <c r="F78" s="2">
        <v>46038</v>
      </c>
      <c r="G78">
        <v>-200</v>
      </c>
      <c r="H78">
        <v>-40.000000000000568</v>
      </c>
      <c r="I78">
        <v>-18400</v>
      </c>
      <c r="J78">
        <v>-18400</v>
      </c>
      <c r="K78">
        <v>-200</v>
      </c>
      <c r="N78">
        <v>0.5</v>
      </c>
      <c r="O78">
        <v>-9220</v>
      </c>
      <c r="P78" t="s">
        <v>21</v>
      </c>
      <c r="Q78" t="s">
        <v>27</v>
      </c>
      <c r="R78" t="s">
        <v>23</v>
      </c>
    </row>
    <row r="79" spans="1:18" hidden="1" x14ac:dyDescent="0.35">
      <c r="A79" t="s">
        <v>29</v>
      </c>
      <c r="B79" t="s">
        <v>66</v>
      </c>
      <c r="C79">
        <v>18.43</v>
      </c>
      <c r="D79" t="s">
        <v>20</v>
      </c>
      <c r="E79">
        <v>19.5</v>
      </c>
      <c r="F79" s="2">
        <v>46024</v>
      </c>
      <c r="G79">
        <v>-1700</v>
      </c>
      <c r="H79">
        <v>0</v>
      </c>
      <c r="I79">
        <v>-33150</v>
      </c>
      <c r="L79">
        <v>-33150</v>
      </c>
      <c r="M79">
        <v>-1700</v>
      </c>
      <c r="N79">
        <v>0.25</v>
      </c>
      <c r="O79">
        <v>-7832.75</v>
      </c>
      <c r="P79" t="s">
        <v>33</v>
      </c>
      <c r="Q79" t="s">
        <v>48</v>
      </c>
      <c r="R79" t="s">
        <v>23</v>
      </c>
    </row>
    <row r="80" spans="1:18" hidden="1" x14ac:dyDescent="0.35">
      <c r="A80" t="s">
        <v>24</v>
      </c>
      <c r="B80" t="s">
        <v>80</v>
      </c>
      <c r="C80">
        <v>55.54</v>
      </c>
      <c r="D80" t="s">
        <v>20</v>
      </c>
      <c r="E80">
        <v>57</v>
      </c>
      <c r="F80" s="2">
        <v>46038</v>
      </c>
      <c r="G80">
        <v>-100</v>
      </c>
      <c r="H80">
        <v>0</v>
      </c>
      <c r="I80">
        <v>-5700</v>
      </c>
      <c r="L80">
        <v>-5700</v>
      </c>
      <c r="M80">
        <v>-100</v>
      </c>
      <c r="N80">
        <v>0.25</v>
      </c>
      <c r="O80">
        <v>-1388.5</v>
      </c>
      <c r="P80" t="s">
        <v>21</v>
      </c>
      <c r="Q80" t="s">
        <v>22</v>
      </c>
      <c r="R80" t="s">
        <v>23</v>
      </c>
    </row>
    <row r="81" spans="1:18" hidden="1" x14ac:dyDescent="0.35">
      <c r="A81" t="s">
        <v>18</v>
      </c>
      <c r="B81" t="s">
        <v>91</v>
      </c>
      <c r="C81">
        <v>65.58</v>
      </c>
      <c r="D81" t="s">
        <v>26</v>
      </c>
      <c r="E81">
        <v>60</v>
      </c>
      <c r="F81" s="2">
        <v>46038</v>
      </c>
      <c r="G81">
        <v>-100</v>
      </c>
      <c r="H81">
        <v>0</v>
      </c>
      <c r="I81">
        <v>6000</v>
      </c>
      <c r="L81">
        <v>6000</v>
      </c>
      <c r="M81">
        <v>-100</v>
      </c>
      <c r="N81">
        <v>-0.25</v>
      </c>
      <c r="O81">
        <v>1639.5</v>
      </c>
      <c r="P81" t="s">
        <v>21</v>
      </c>
      <c r="Q81" t="s">
        <v>76</v>
      </c>
      <c r="R81" t="s">
        <v>23</v>
      </c>
    </row>
    <row r="82" spans="1:18" hidden="1" x14ac:dyDescent="0.35">
      <c r="A82" t="s">
        <v>29</v>
      </c>
      <c r="B82" t="s">
        <v>92</v>
      </c>
      <c r="C82">
        <v>194.13</v>
      </c>
      <c r="D82" t="s">
        <v>26</v>
      </c>
      <c r="E82">
        <v>180</v>
      </c>
      <c r="F82" s="2">
        <v>46024</v>
      </c>
      <c r="G82">
        <v>-400</v>
      </c>
      <c r="H82">
        <v>0</v>
      </c>
      <c r="I82">
        <v>72000</v>
      </c>
      <c r="L82">
        <v>72000</v>
      </c>
      <c r="M82">
        <v>-400</v>
      </c>
      <c r="N82">
        <v>-0.25</v>
      </c>
      <c r="O82">
        <v>19413</v>
      </c>
      <c r="P82" t="s">
        <v>33</v>
      </c>
      <c r="Q82" t="s">
        <v>34</v>
      </c>
      <c r="R82" t="s">
        <v>35</v>
      </c>
    </row>
    <row r="83" spans="1:18" hidden="1" x14ac:dyDescent="0.35">
      <c r="A83" t="s">
        <v>29</v>
      </c>
      <c r="B83" t="s">
        <v>70</v>
      </c>
      <c r="C83">
        <v>120.24</v>
      </c>
      <c r="D83" t="s">
        <v>20</v>
      </c>
      <c r="E83">
        <v>130</v>
      </c>
      <c r="F83" s="2">
        <v>46024</v>
      </c>
      <c r="G83">
        <v>-100</v>
      </c>
      <c r="H83">
        <v>0</v>
      </c>
      <c r="I83">
        <v>-13000</v>
      </c>
      <c r="L83">
        <v>-13000</v>
      </c>
      <c r="M83">
        <v>-100</v>
      </c>
      <c r="N83">
        <v>0.25</v>
      </c>
      <c r="O83">
        <v>-3006</v>
      </c>
      <c r="P83" t="s">
        <v>33</v>
      </c>
      <c r="Q83" t="s">
        <v>34</v>
      </c>
      <c r="R83" t="s">
        <v>35</v>
      </c>
    </row>
    <row r="84" spans="1:18" hidden="1" x14ac:dyDescent="0.35">
      <c r="A84" t="s">
        <v>29</v>
      </c>
      <c r="B84" t="s">
        <v>93</v>
      </c>
      <c r="C84">
        <v>143.18</v>
      </c>
      <c r="D84" t="s">
        <v>20</v>
      </c>
      <c r="E84">
        <v>150</v>
      </c>
      <c r="F84" s="2">
        <v>46038</v>
      </c>
      <c r="G84">
        <v>-100</v>
      </c>
      <c r="H84">
        <v>0</v>
      </c>
      <c r="I84">
        <v>-15000</v>
      </c>
      <c r="L84">
        <v>-15000</v>
      </c>
      <c r="M84">
        <v>-100</v>
      </c>
      <c r="N84">
        <v>0.25</v>
      </c>
      <c r="O84">
        <v>-3579.5</v>
      </c>
      <c r="P84" t="s">
        <v>33</v>
      </c>
      <c r="Q84" t="s">
        <v>22</v>
      </c>
      <c r="R84" t="s">
        <v>23</v>
      </c>
    </row>
    <row r="85" spans="1:18" hidden="1" x14ac:dyDescent="0.35">
      <c r="A85" t="s">
        <v>29</v>
      </c>
      <c r="B85" t="s">
        <v>94</v>
      </c>
      <c r="C85">
        <v>61.08</v>
      </c>
      <c r="D85" t="s">
        <v>26</v>
      </c>
      <c r="E85">
        <v>60</v>
      </c>
      <c r="F85" s="2">
        <v>46038</v>
      </c>
      <c r="G85">
        <v>-300</v>
      </c>
      <c r="H85">
        <v>0</v>
      </c>
      <c r="I85">
        <v>18000</v>
      </c>
      <c r="L85">
        <v>18000</v>
      </c>
      <c r="M85">
        <v>-300</v>
      </c>
      <c r="N85">
        <v>-0.5</v>
      </c>
      <c r="O85">
        <v>9162</v>
      </c>
      <c r="P85" t="s">
        <v>33</v>
      </c>
      <c r="Q85" t="s">
        <v>60</v>
      </c>
      <c r="R85" t="s">
        <v>23</v>
      </c>
    </row>
    <row r="86" spans="1:18" hidden="1" x14ac:dyDescent="0.35">
      <c r="A86" t="s">
        <v>18</v>
      </c>
      <c r="B86" t="s">
        <v>30</v>
      </c>
      <c r="C86">
        <v>76.48</v>
      </c>
      <c r="D86" t="s">
        <v>26</v>
      </c>
      <c r="E86">
        <v>80</v>
      </c>
      <c r="F86" s="2">
        <v>46038</v>
      </c>
      <c r="G86">
        <v>-200</v>
      </c>
      <c r="H86">
        <v>-703.9999999999992</v>
      </c>
      <c r="I86">
        <v>16000</v>
      </c>
      <c r="J86">
        <v>16000</v>
      </c>
      <c r="K86">
        <v>-200</v>
      </c>
      <c r="N86">
        <v>-0.25</v>
      </c>
      <c r="O86">
        <v>3824</v>
      </c>
      <c r="P86" t="s">
        <v>31</v>
      </c>
      <c r="Q86" t="s">
        <v>22</v>
      </c>
      <c r="R86" t="s">
        <v>23</v>
      </c>
    </row>
    <row r="87" spans="1:18" hidden="1" x14ac:dyDescent="0.35">
      <c r="A87" t="s">
        <v>18</v>
      </c>
      <c r="B87" t="s">
        <v>84</v>
      </c>
      <c r="C87">
        <v>35.454999999999998</v>
      </c>
      <c r="D87" t="s">
        <v>20</v>
      </c>
      <c r="E87">
        <v>35.5</v>
      </c>
      <c r="F87" s="2">
        <v>46038</v>
      </c>
      <c r="G87">
        <v>-300</v>
      </c>
      <c r="H87">
        <v>0</v>
      </c>
      <c r="I87">
        <v>-10650</v>
      </c>
      <c r="L87">
        <v>-10650</v>
      </c>
      <c r="M87">
        <v>-300</v>
      </c>
      <c r="N87">
        <v>0.5</v>
      </c>
      <c r="O87">
        <v>-5318.25</v>
      </c>
      <c r="P87" t="s">
        <v>42</v>
      </c>
      <c r="Q87" t="s">
        <v>65</v>
      </c>
      <c r="R87" t="s">
        <v>23</v>
      </c>
    </row>
    <row r="88" spans="1:18" hidden="1" x14ac:dyDescent="0.35">
      <c r="A88" t="s">
        <v>18</v>
      </c>
      <c r="B88" t="s">
        <v>59</v>
      </c>
      <c r="C88">
        <v>38.26</v>
      </c>
      <c r="D88" t="s">
        <v>26</v>
      </c>
      <c r="E88">
        <v>38</v>
      </c>
      <c r="F88" s="2">
        <v>46038</v>
      </c>
      <c r="G88">
        <v>-800</v>
      </c>
      <c r="H88">
        <v>0</v>
      </c>
      <c r="I88">
        <v>30400</v>
      </c>
      <c r="L88">
        <v>30400</v>
      </c>
      <c r="M88">
        <v>-800</v>
      </c>
      <c r="N88">
        <v>-0.5</v>
      </c>
      <c r="O88">
        <v>15304</v>
      </c>
      <c r="P88" t="s">
        <v>21</v>
      </c>
      <c r="Q88" t="s">
        <v>60</v>
      </c>
      <c r="R88" t="s">
        <v>23</v>
      </c>
    </row>
    <row r="89" spans="1:18" hidden="1" x14ac:dyDescent="0.35">
      <c r="A89" t="s">
        <v>18</v>
      </c>
      <c r="B89" t="s">
        <v>95</v>
      </c>
      <c r="C89">
        <v>43.73</v>
      </c>
      <c r="D89" t="s">
        <v>26</v>
      </c>
      <c r="E89">
        <v>43.5</v>
      </c>
      <c r="F89" s="2">
        <v>46038</v>
      </c>
      <c r="G89">
        <v>-200</v>
      </c>
      <c r="H89">
        <v>0</v>
      </c>
      <c r="I89">
        <v>8700</v>
      </c>
      <c r="L89">
        <v>8700</v>
      </c>
      <c r="M89">
        <v>-200</v>
      </c>
      <c r="N89">
        <v>-0.5</v>
      </c>
      <c r="O89">
        <v>4373</v>
      </c>
      <c r="P89" t="s">
        <v>42</v>
      </c>
      <c r="Q89" t="s">
        <v>60</v>
      </c>
      <c r="R89" t="s">
        <v>23</v>
      </c>
    </row>
    <row r="90" spans="1:18" hidden="1" x14ac:dyDescent="0.35">
      <c r="A90" t="s">
        <v>29</v>
      </c>
      <c r="B90" t="s">
        <v>96</v>
      </c>
      <c r="C90">
        <v>188.12</v>
      </c>
      <c r="D90" t="s">
        <v>20</v>
      </c>
      <c r="E90">
        <v>192.5</v>
      </c>
      <c r="F90" s="2">
        <v>46017</v>
      </c>
      <c r="G90">
        <v>-100</v>
      </c>
      <c r="H90">
        <v>0</v>
      </c>
      <c r="I90">
        <v>-19250</v>
      </c>
      <c r="L90">
        <v>-19250</v>
      </c>
      <c r="M90">
        <v>-100</v>
      </c>
      <c r="N90">
        <v>0.5</v>
      </c>
      <c r="O90">
        <v>-9406</v>
      </c>
      <c r="P90" t="s">
        <v>33</v>
      </c>
      <c r="Q90" t="s">
        <v>34</v>
      </c>
      <c r="R90" t="s">
        <v>35</v>
      </c>
    </row>
    <row r="91" spans="1:18" hidden="1" x14ac:dyDescent="0.35">
      <c r="A91" t="s">
        <v>24</v>
      </c>
      <c r="B91" t="s">
        <v>62</v>
      </c>
      <c r="C91">
        <v>31</v>
      </c>
      <c r="D91" t="s">
        <v>20</v>
      </c>
      <c r="E91">
        <v>32</v>
      </c>
      <c r="F91" s="2">
        <v>46038</v>
      </c>
      <c r="G91">
        <v>-200</v>
      </c>
      <c r="H91">
        <v>0</v>
      </c>
      <c r="I91">
        <v>-6400</v>
      </c>
      <c r="L91">
        <v>-6400</v>
      </c>
      <c r="M91">
        <v>-200</v>
      </c>
      <c r="N91">
        <v>0.25</v>
      </c>
      <c r="O91">
        <v>-1550</v>
      </c>
      <c r="P91" t="s">
        <v>21</v>
      </c>
      <c r="Q91" t="s">
        <v>52</v>
      </c>
      <c r="R91" t="s">
        <v>23</v>
      </c>
    </row>
    <row r="92" spans="1:18" hidden="1" x14ac:dyDescent="0.35">
      <c r="A92" t="s">
        <v>29</v>
      </c>
      <c r="B92" t="s">
        <v>51</v>
      </c>
      <c r="C92">
        <v>93.41</v>
      </c>
      <c r="D92" t="s">
        <v>26</v>
      </c>
      <c r="E92">
        <v>94</v>
      </c>
      <c r="F92" s="2">
        <v>46017</v>
      </c>
      <c r="G92">
        <v>-100</v>
      </c>
      <c r="H92">
        <v>-59.000000000000341</v>
      </c>
      <c r="I92">
        <v>9400</v>
      </c>
      <c r="J92">
        <v>9400</v>
      </c>
      <c r="K92">
        <v>-100</v>
      </c>
      <c r="N92">
        <v>-0.5</v>
      </c>
      <c r="O92">
        <v>4670.5</v>
      </c>
      <c r="P92" t="s">
        <v>33</v>
      </c>
      <c r="Q92" t="s">
        <v>52</v>
      </c>
      <c r="R92" t="s">
        <v>35</v>
      </c>
    </row>
    <row r="93" spans="1:18" hidden="1" x14ac:dyDescent="0.35">
      <c r="A93" t="s">
        <v>18</v>
      </c>
      <c r="B93" t="s">
        <v>97</v>
      </c>
      <c r="C93">
        <v>80.61</v>
      </c>
      <c r="D93" t="s">
        <v>26</v>
      </c>
      <c r="E93">
        <v>70</v>
      </c>
      <c r="F93" s="2">
        <v>46038</v>
      </c>
      <c r="G93">
        <v>-200</v>
      </c>
      <c r="H93">
        <v>0</v>
      </c>
      <c r="I93">
        <v>14000</v>
      </c>
      <c r="L93">
        <v>14000</v>
      </c>
      <c r="M93">
        <v>-200</v>
      </c>
      <c r="N93">
        <v>-0.25</v>
      </c>
      <c r="O93">
        <v>4030.5</v>
      </c>
      <c r="P93" t="s">
        <v>31</v>
      </c>
      <c r="Q93" t="s">
        <v>50</v>
      </c>
      <c r="R93" t="s">
        <v>23</v>
      </c>
    </row>
    <row r="94" spans="1:18" hidden="1" x14ac:dyDescent="0.35">
      <c r="A94" t="s">
        <v>24</v>
      </c>
      <c r="B94" t="s">
        <v>84</v>
      </c>
      <c r="C94">
        <v>35.454999999999998</v>
      </c>
      <c r="D94" t="s">
        <v>20</v>
      </c>
      <c r="E94">
        <v>35</v>
      </c>
      <c r="F94" s="2">
        <v>46038</v>
      </c>
      <c r="G94">
        <v>-300</v>
      </c>
      <c r="H94">
        <v>-136.49999999999949</v>
      </c>
      <c r="I94">
        <v>-10500</v>
      </c>
      <c r="J94">
        <v>-10500</v>
      </c>
      <c r="K94">
        <v>-300</v>
      </c>
      <c r="N94">
        <v>0.5</v>
      </c>
      <c r="O94">
        <v>-5318.25</v>
      </c>
      <c r="P94" t="s">
        <v>42</v>
      </c>
      <c r="Q94" t="s">
        <v>65</v>
      </c>
      <c r="R94" t="s">
        <v>23</v>
      </c>
    </row>
    <row r="95" spans="1:18" hidden="1" x14ac:dyDescent="0.35">
      <c r="A95" t="s">
        <v>29</v>
      </c>
      <c r="B95" t="s">
        <v>81</v>
      </c>
      <c r="C95">
        <v>69.87</v>
      </c>
      <c r="D95" t="s">
        <v>20</v>
      </c>
      <c r="E95">
        <v>72</v>
      </c>
      <c r="F95" s="2">
        <v>46038</v>
      </c>
      <c r="G95">
        <v>-200</v>
      </c>
      <c r="H95">
        <v>0</v>
      </c>
      <c r="I95">
        <v>-14400</v>
      </c>
      <c r="L95">
        <v>-14400</v>
      </c>
      <c r="M95">
        <v>-200</v>
      </c>
      <c r="N95">
        <v>0.25</v>
      </c>
      <c r="O95">
        <v>-3493.5</v>
      </c>
      <c r="P95" t="s">
        <v>33</v>
      </c>
      <c r="Q95" t="s">
        <v>22</v>
      </c>
      <c r="R95" t="s">
        <v>23</v>
      </c>
    </row>
    <row r="96" spans="1:18" hidden="1" x14ac:dyDescent="0.35">
      <c r="A96" t="s">
        <v>24</v>
      </c>
      <c r="B96" t="s">
        <v>84</v>
      </c>
      <c r="C96">
        <v>35.454999999999998</v>
      </c>
      <c r="D96" t="s">
        <v>26</v>
      </c>
      <c r="E96">
        <v>35</v>
      </c>
      <c r="F96" s="2">
        <v>46038</v>
      </c>
      <c r="G96">
        <v>-400</v>
      </c>
      <c r="H96">
        <v>0</v>
      </c>
      <c r="I96">
        <v>14000</v>
      </c>
      <c r="L96">
        <v>14000</v>
      </c>
      <c r="M96">
        <v>-400</v>
      </c>
      <c r="N96">
        <v>-0.5</v>
      </c>
      <c r="O96">
        <v>7091</v>
      </c>
      <c r="P96" t="s">
        <v>42</v>
      </c>
      <c r="Q96" t="s">
        <v>65</v>
      </c>
      <c r="R96" t="s">
        <v>23</v>
      </c>
    </row>
    <row r="97" spans="1:18" hidden="1" x14ac:dyDescent="0.35">
      <c r="A97" t="s">
        <v>29</v>
      </c>
      <c r="B97" t="s">
        <v>36</v>
      </c>
      <c r="C97">
        <v>684</v>
      </c>
      <c r="D97" t="s">
        <v>26</v>
      </c>
      <c r="E97">
        <v>640</v>
      </c>
      <c r="F97" s="2">
        <v>46101</v>
      </c>
      <c r="G97">
        <v>100</v>
      </c>
      <c r="H97">
        <v>0</v>
      </c>
      <c r="I97">
        <v>-64000</v>
      </c>
      <c r="L97">
        <v>-64000</v>
      </c>
      <c r="M97">
        <v>100</v>
      </c>
      <c r="N97">
        <v>-0.25</v>
      </c>
      <c r="O97">
        <v>-17100</v>
      </c>
      <c r="P97" t="s">
        <v>33</v>
      </c>
      <c r="Q97" t="s">
        <v>37</v>
      </c>
      <c r="R97" t="s">
        <v>23</v>
      </c>
    </row>
    <row r="98" spans="1:18" hidden="1" x14ac:dyDescent="0.35">
      <c r="A98" t="s">
        <v>29</v>
      </c>
      <c r="B98" t="s">
        <v>81</v>
      </c>
      <c r="C98">
        <v>69.87</v>
      </c>
      <c r="D98" t="s">
        <v>26</v>
      </c>
      <c r="E98">
        <v>71</v>
      </c>
      <c r="F98" s="2">
        <v>46031</v>
      </c>
      <c r="G98">
        <v>-100</v>
      </c>
      <c r="H98">
        <v>-112.9999999999995</v>
      </c>
      <c r="I98">
        <v>7100</v>
      </c>
      <c r="J98">
        <v>7100</v>
      </c>
      <c r="K98">
        <v>-100</v>
      </c>
      <c r="N98">
        <v>-0.5</v>
      </c>
      <c r="O98">
        <v>3493.5</v>
      </c>
      <c r="P98" t="s">
        <v>33</v>
      </c>
      <c r="Q98" t="s">
        <v>22</v>
      </c>
      <c r="R98" t="s">
        <v>23</v>
      </c>
    </row>
    <row r="99" spans="1:18" hidden="1" x14ac:dyDescent="0.35">
      <c r="A99" t="s">
        <v>18</v>
      </c>
      <c r="B99" t="s">
        <v>58</v>
      </c>
      <c r="C99">
        <v>34.520000000000003</v>
      </c>
      <c r="D99" t="s">
        <v>20</v>
      </c>
      <c r="E99">
        <v>35</v>
      </c>
      <c r="F99" s="2">
        <v>46038</v>
      </c>
      <c r="G99">
        <v>-300</v>
      </c>
      <c r="H99">
        <v>0</v>
      </c>
      <c r="I99">
        <v>-10500</v>
      </c>
      <c r="L99">
        <v>-10500</v>
      </c>
      <c r="M99">
        <v>-300</v>
      </c>
      <c r="N99">
        <v>0.5</v>
      </c>
      <c r="O99">
        <v>-5178.0000000000009</v>
      </c>
      <c r="P99" t="s">
        <v>21</v>
      </c>
      <c r="Q99" t="s">
        <v>22</v>
      </c>
      <c r="R99" t="s">
        <v>23</v>
      </c>
    </row>
    <row r="100" spans="1:18" hidden="1" x14ac:dyDescent="0.35">
      <c r="A100" t="s">
        <v>24</v>
      </c>
      <c r="B100" t="s">
        <v>57</v>
      </c>
      <c r="C100">
        <v>80.97</v>
      </c>
      <c r="D100" t="s">
        <v>20</v>
      </c>
      <c r="E100">
        <v>85</v>
      </c>
      <c r="F100" s="2">
        <v>46017</v>
      </c>
      <c r="G100">
        <v>-100</v>
      </c>
      <c r="H100">
        <v>0</v>
      </c>
      <c r="I100">
        <v>-8500</v>
      </c>
      <c r="L100">
        <v>-8500</v>
      </c>
      <c r="M100">
        <v>-100</v>
      </c>
      <c r="N100">
        <v>0.25</v>
      </c>
      <c r="O100">
        <v>-2024.25</v>
      </c>
      <c r="P100" t="s">
        <v>33</v>
      </c>
      <c r="Q100" t="s">
        <v>34</v>
      </c>
      <c r="R100" t="s">
        <v>35</v>
      </c>
    </row>
  </sheetData>
  <autoFilter ref="A1:R100" xr:uid="{00000000-0001-0000-0000-000000000000}">
    <filterColumn colId="16">
      <filters>
        <filter val="Inf Tec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Details1</vt:lpstr>
      <vt:lpstr>Blad1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Onno Kievit</cp:lastModifiedBy>
  <dcterms:created xsi:type="dcterms:W3CDTF">2025-12-25T14:33:21Z</dcterms:created>
  <dcterms:modified xsi:type="dcterms:W3CDTF">2025-12-25T14:58:35Z</dcterms:modified>
</cp:coreProperties>
</file>